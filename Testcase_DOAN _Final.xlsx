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ĐỒ ÁN\"/>
    </mc:Choice>
  </mc:AlternateContent>
  <bookViews>
    <workbookView xWindow="-108" yWindow="-108" windowWidth="19416" windowHeight="10416" firstSheet="13" activeTab="17"/>
  </bookViews>
  <sheets>
    <sheet name="TraceabilityMatrix" sheetId="1" r:id="rId1"/>
    <sheet name="TestCases" sheetId="2" r:id="rId2"/>
    <sheet name="Đăng ký" sheetId="7" r:id="rId3"/>
    <sheet name="Đăng nhập" sheetId="10" r:id="rId4"/>
    <sheet name="Quản lý giỏ hàng" sheetId="11" r:id="rId5"/>
    <sheet name="Xem chi tiết sản phẩm" sheetId="12" r:id="rId6"/>
    <sheet name="Xem tin tức theo danh mục" sheetId="13" r:id="rId7"/>
    <sheet name="Tìm kiếm sản phẩm" sheetId="14" r:id="rId8"/>
    <sheet name="Lịch sử mua hàng" sheetId="15" r:id="rId9"/>
    <sheet name="Đặt hàng" sheetId="16" r:id="rId10"/>
    <sheet name="Xem hãng theo danh mục" sheetId="18" r:id="rId11"/>
    <sheet name="Thêm sản phẩm vào giỏ hàng" sheetId="19" r:id="rId12"/>
    <sheet name="Quản lý thông tin tài khoản" sheetId="26" r:id="rId13"/>
    <sheet name="Quản lý sản phẩm" sheetId="27" r:id="rId14"/>
    <sheet name="Quản lý hãng" sheetId="28" r:id="rId15"/>
    <sheet name="Quản lý tài khoản " sheetId="29" r:id="rId16"/>
    <sheet name="Quản lý đơn hàng" sheetId="30" r:id="rId17"/>
    <sheet name="TestLog" sheetId="3" r:id="rId18"/>
    <sheet name="DefectReport" sheetId="4" r:id="rId19"/>
    <sheet name="TestReport" sheetId="5" r:id="rId20"/>
  </sheets>
  <calcPr calcId="162913"/>
</workbook>
</file>

<file path=xl/calcChain.xml><?xml version="1.0" encoding="utf-8"?>
<calcChain xmlns="http://schemas.openxmlformats.org/spreadsheetml/2006/main">
  <c r="G2" i="5" l="1"/>
  <c r="E4" i="30"/>
  <c r="D4" i="30"/>
  <c r="B4" i="30"/>
  <c r="A4" i="30"/>
  <c r="E4" i="29"/>
  <c r="D4" i="29"/>
  <c r="B4" i="29"/>
  <c r="A4" i="29"/>
  <c r="E4" i="28"/>
  <c r="D4" i="28"/>
  <c r="B4" i="28"/>
  <c r="A4" i="28"/>
  <c r="E4" i="27"/>
  <c r="D4" i="27"/>
  <c r="B4" i="27"/>
  <c r="A4" i="27"/>
  <c r="E4" i="26"/>
  <c r="D4" i="26"/>
  <c r="C4" i="26" s="1"/>
  <c r="B4" i="26"/>
  <c r="A4" i="26"/>
  <c r="E4" i="19"/>
  <c r="D4" i="19"/>
  <c r="B4" i="19"/>
  <c r="A4" i="19"/>
  <c r="C4" i="19" s="1"/>
  <c r="E4" i="18"/>
  <c r="D4" i="18"/>
  <c r="B4" i="18"/>
  <c r="A4" i="18"/>
  <c r="E4" i="16"/>
  <c r="D4" i="16"/>
  <c r="B4" i="16"/>
  <c r="A4" i="16"/>
  <c r="E4" i="15"/>
  <c r="D4" i="15"/>
  <c r="B4" i="15"/>
  <c r="A4" i="15"/>
  <c r="E4" i="14"/>
  <c r="D4" i="14"/>
  <c r="B4" i="14"/>
  <c r="A4" i="14"/>
  <c r="E4" i="13"/>
  <c r="D4" i="13"/>
  <c r="B4" i="13"/>
  <c r="A4" i="13"/>
  <c r="E4" i="12"/>
  <c r="D4" i="12"/>
  <c r="B4" i="12"/>
  <c r="A4" i="12"/>
  <c r="E4" i="11"/>
  <c r="D4" i="11"/>
  <c r="B4" i="11"/>
  <c r="A4" i="11"/>
  <c r="E4" i="10"/>
  <c r="D4" i="10"/>
  <c r="B4" i="10"/>
  <c r="A4" i="10"/>
  <c r="E4" i="7"/>
  <c r="D4" i="7"/>
  <c r="B4" i="7"/>
  <c r="A4" i="7"/>
  <c r="C4" i="29" l="1"/>
  <c r="C4" i="30"/>
  <c r="C4" i="28"/>
  <c r="C4" i="27"/>
  <c r="C4" i="18"/>
  <c r="C4" i="16"/>
  <c r="C4" i="15"/>
  <c r="C4" i="14"/>
  <c r="C4" i="13"/>
  <c r="C4" i="12"/>
  <c r="C4" i="11"/>
  <c r="C4" i="10"/>
  <c r="C4" i="7"/>
</calcChain>
</file>

<file path=xl/comments1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1"/>
            <color rgb="FF000000"/>
            <rFont val="Calibri"/>
            <scheme val="minor"/>
          </rPr>
          <t>======
ID#AAAAda4EfWc
    (2022-07-26 01:54:17)
Pass
Fail
Untested
N/A</t>
        </r>
      </text>
    </comment>
  </commentList>
</comments>
</file>

<file path=xl/sharedStrings.xml><?xml version="1.0" encoding="utf-8"?>
<sst xmlns="http://schemas.openxmlformats.org/spreadsheetml/2006/main" count="2303" uniqueCount="869">
  <si>
    <t>Function/Module</t>
  </si>
  <si>
    <t>Requirement ID</t>
  </si>
  <si>
    <t>Requirement Description</t>
  </si>
  <si>
    <t>Test Case ID</t>
  </si>
  <si>
    <t>Test Case Title</t>
  </si>
  <si>
    <t>Tester</t>
  </si>
  <si>
    <t>Status (Covered/Not Covered)</t>
  </si>
  <si>
    <t>Đăng nhập</t>
  </si>
  <si>
    <t>Người dùng có thể đăng nhập với thông tin hợp lệ</t>
  </si>
  <si>
    <t>Hệ thống hiển thị thông báo lỗi khi nhập sai mật khẩu</t>
  </si>
  <si>
    <t>TC-001</t>
  </si>
  <si>
    <t>TC-002</t>
  </si>
  <si>
    <t>Đăng nhập hợp lệ</t>
  </si>
  <si>
    <t>Đăng nhập sai mật khẩu</t>
  </si>
  <si>
    <t>Covered</t>
  </si>
  <si>
    <t>Title</t>
  </si>
  <si>
    <t>Preconditions</t>
  </si>
  <si>
    <t>Steps</t>
  </si>
  <si>
    <t>Expected Result</t>
  </si>
  <si>
    <t>Priority</t>
  </si>
  <si>
    <t>Status</t>
  </si>
  <si>
    <t>Có tài khoản hợp lệ</t>
  </si>
  <si>
    <t>Hệ thống hiển thị trang chủ</t>
  </si>
  <si>
    <t>Hệ thống hiển thị thông báo lỗi 'Sai mật khẩu'</t>
  </si>
  <si>
    <t>P1</t>
  </si>
  <si>
    <t>P2</t>
  </si>
  <si>
    <t>Ready</t>
  </si>
  <si>
    <t>Result</t>
  </si>
  <si>
    <t>2025-10-15</t>
  </si>
  <si>
    <t>Pass</t>
  </si>
  <si>
    <t>Fail</t>
  </si>
  <si>
    <t>BUG-001</t>
  </si>
  <si>
    <t>Bug ID</t>
  </si>
  <si>
    <t>Module</t>
  </si>
  <si>
    <t>Description</t>
  </si>
  <si>
    <t>Severity</t>
  </si>
  <si>
    <t>Steps to Reproduce</t>
  </si>
  <si>
    <t>Actual Result</t>
  </si>
  <si>
    <t>Reporter</t>
  </si>
  <si>
    <t>Assignee</t>
  </si>
  <si>
    <t>Created At</t>
  </si>
  <si>
    <t>Updated At</t>
  </si>
  <si>
    <t>Lỗi không hiển thị thông báo sai mật khẩu</t>
  </si>
  <si>
    <t>Khi nhập sai mật khẩu, hệ thống không hiển thị thông báo lỗi</t>
  </si>
  <si>
    <t>Medium</t>
  </si>
  <si>
    <t>Hiển thị thông báo 'Sai mật khẩu'</t>
  </si>
  <si>
    <t>Không hiển thị thông báo</t>
  </si>
  <si>
    <t>Open</t>
  </si>
  <si>
    <t>Total Test Cases</t>
  </si>
  <si>
    <t>Executed</t>
  </si>
  <si>
    <t>Passed</t>
  </si>
  <si>
    <t>Failed</t>
  </si>
  <si>
    <t>Blocked</t>
  </si>
  <si>
    <t>Pass Rate (%)</t>
  </si>
  <si>
    <t>Serious Defects</t>
  </si>
  <si>
    <t>Remarks</t>
  </si>
  <si>
    <t>Còn 1 lỗi chưa fix (BUG-001)</t>
  </si>
  <si>
    <t>Nguyễn Văn Hải</t>
  </si>
  <si>
    <t>No</t>
  </si>
  <si>
    <t>R001</t>
  </si>
  <si>
    <t>R002</t>
  </si>
  <si>
    <t>1. Mở trang đăng nhập
2. Nhập username: haitv/Nhập password: 1234567890
3. Nhấn nút Đăng nhập</t>
  </si>
  <si>
    <t>1. Mở trang đăng nhập
2. Nhập username: haitv/ Nhập password: 1234haitv
3. Nhấn nút Đăng nhập</t>
  </si>
  <si>
    <t>Nguyễn Văn  Hải</t>
  </si>
  <si>
    <t>Ý nghĩa</t>
  </si>
  <si>
    <t>Ví dụ</t>
  </si>
  <si>
    <t>P0 – Critical</t>
  </si>
  <si>
    <t>Phải kiểm thử ngay hoặc sửa lỗi khẩn cấp, ảnh hưởng nghiêm trọng đến hoạt động chính</t>
  </si>
  <si>
    <t>Không thể đăng nhập, không thể checkout</t>
  </si>
  <si>
    <t>P1 – High</t>
  </si>
  <si>
    <t>Ưu tiên cao, cần kiểm thử/sửa sớm vì ảnh hưởng đến chức năng chính</t>
  </si>
  <si>
    <t>Sai mật khẩu không báo lỗi, form đăng nhập không phản hồi</t>
  </si>
  <si>
    <t>P2 – Medium</t>
  </si>
  <si>
    <t>Quan trọng vừa phải, có thể làm sau các chức năng chính</t>
  </si>
  <si>
    <t>Thông báo lỗi hiển thị sai màu, căn lề không chuẩn</t>
  </si>
  <si>
    <t>P3 – Low</t>
  </si>
  <si>
    <t>Ưu tiên thấp, ít ảnh hưởng, có thể kiểm thử cuối cùng</t>
  </si>
  <si>
    <t>Giao diện lỗi chính tả, font chữ chưa đúng</t>
  </si>
  <si>
    <t>Mức Priority</t>
  </si>
  <si>
    <t>Trần Bình</t>
  </si>
  <si>
    <t>Phân loại các mức Severity (chuẩn dùng trong dự án)</t>
  </si>
  <si>
    <t>Mức độ</t>
  </si>
  <si>
    <t>Mô tả</t>
  </si>
  <si>
    <t>Ví dụ thực tế</t>
  </si>
  <si>
    <t>Critical</t>
  </si>
  <si>
    <t>Không thể đăng nhập; crash khi mở ứng dụng; mất dữ liệu.</t>
  </si>
  <si>
    <t>High</t>
  </si>
  <si>
    <t>Đăng nhập không hiển thị thông báo lỗi khi sai mật khẩu; thanh toán lỗi logic.</t>
  </si>
  <si>
    <t>Hiển thị sai label, form validate thiếu, bảng không căn chỉnh đúng.</t>
  </si>
  <si>
    <t>Low</t>
  </si>
  <si>
    <t>Sai chính tả, màu nút không đồng nhất, icon lệch.</t>
  </si>
  <si>
    <t>Hệ thống ngừng hoạt động hoàn toàn, không có workaround (không thể tiếp tục kiểm thử).</t>
  </si>
  <si>
    <t>Ảnh hưởng chức năng chính, có workaround nhưng gây gián đoạn nghiêm trọng.</t>
  </si>
  <si>
    <t>Ảnh hưởng một phần chức năng phụ, hệ thống vẫn hoạt động bình thường.</t>
  </si>
  <si>
    <t>Lỗi giao diện, thẩm mỹ, hoặc nội dung nhỏ, không ảnh hưởng chức năng.</t>
  </si>
  <si>
    <t>1. Nhập username hợp lệ: haitv
2. Nhập mật khẩu sai: 1234567890
3. Nhấn Đăng nhập</t>
  </si>
  <si>
    <t>…</t>
  </si>
  <si>
    <t>Vòng đời lỗi (Defect Life Cycle)</t>
  </si>
  <si>
    <t>Trạng thái (Status)</t>
  </si>
  <si>
    <t>Mô tả ý nghĩa</t>
  </si>
  <si>
    <t>New</t>
  </si>
  <si>
    <t>Tester mới ghi lỗi, đang chờ được xác nhận.</t>
  </si>
  <si>
    <t>Lỗi đã được xác nhận là hợp lệ, đang chờ Developer xử lý.</t>
  </si>
  <si>
    <t>In Progress / Assigned</t>
  </si>
  <si>
    <t>Lỗi đã được giao cho Developer và đang được sửa.</t>
  </si>
  <si>
    <t>Fixed</t>
  </si>
  <si>
    <t>Developer đã sửa xong, gửi lại để kiểm tra.</t>
  </si>
  <si>
    <t>Retest / Ready for Retest</t>
  </si>
  <si>
    <t>Tester thực hiện kiểm thử lại để xác nhận fix.</t>
  </si>
  <si>
    <t>Verified / Closed</t>
  </si>
  <si>
    <t>Tester xác nhận lỗi đã được sửa thành công, đóng lỗi.</t>
  </si>
  <si>
    <t>Reopened</t>
  </si>
  <si>
    <t>Lỗi từng được fix nhưng tái xuất hiện khi kiểm thử lại.</t>
  </si>
  <si>
    <t>Deferred / Postponed</t>
  </si>
  <si>
    <t>Lỗi tạm hoãn xử lý (do ưu tiên thấp hoặc phụ thuộc bản phát hành khác).</t>
  </si>
  <si>
    <t>Rejected / Not a Bug</t>
  </si>
  <si>
    <t>Lỗi không hợp lệ hoặc do hiểu nhầm (tính năng đúng như thiết kế).</t>
  </si>
  <si>
    <t>Duplicate</t>
  </si>
  <si>
    <t>Trùng với lỗi đã được ghi nhận trước đó.</t>
  </si>
  <si>
    <t>Cannot Reproduce</t>
  </si>
  <si>
    <t>Developer hoặc QA không tái hiện được lỗi.</t>
  </si>
  <si>
    <t>Won’t Fix / As Designed</t>
  </si>
  <si>
    <t>Xác nhận là lỗi thật nhưng quyết định không sửa (vì lý do kỹ thuật/kinh doanh).</t>
  </si>
  <si>
    <t>ID</t>
  </si>
  <si>
    <t>Group Name</t>
  </si>
  <si>
    <t>Sub Group Name</t>
  </si>
  <si>
    <t>Test Case Description</t>
  </si>
  <si>
    <t>Precondition</t>
  </si>
  <si>
    <t>Test Case Procedure</t>
  </si>
  <si>
    <t>Expected Output</t>
  </si>
  <si>
    <t>Access right</t>
  </si>
  <si>
    <t>UI</t>
  </si>
  <si>
    <t>Validation</t>
  </si>
  <si>
    <t>Email</t>
  </si>
  <si>
    <t>Bỏ trống email</t>
  </si>
  <si>
    <t>Xác minh rằng user đăng nhập thành công với tài khoản hợp lệ</t>
  </si>
  <si>
    <t>DK_01</t>
  </si>
  <si>
    <t>DK_02</t>
  </si>
  <si>
    <t>DK_03</t>
  </si>
  <si>
    <t>DK_04</t>
  </si>
  <si>
    <t>DK_05</t>
  </si>
  <si>
    <t>DK_06</t>
  </si>
  <si>
    <t>DK_07</t>
  </si>
  <si>
    <t>DK_08</t>
  </si>
  <si>
    <t xml:space="preserve">1. Kích "Register" hoặc kích màn hình login chọn "Đăng ký tài khoản mới" </t>
  </si>
  <si>
    <t>1. Hiển thị màn hình đăng ký</t>
  </si>
  <si>
    <t>Kiểm tra số lượng các item</t>
  </si>
  <si>
    <t>Kiểm tra vị trí, font chữ, size chữ, màu sắc</t>
  </si>
  <si>
    <t>Kiểm tra trạng thái</t>
  </si>
  <si>
    <t>Kiểm tra giá trị default</t>
  </si>
  <si>
    <t>1. Kiểm tra số lượng các item</t>
  </si>
  <si>
    <t>1. Hiển thị đúng design</t>
  </si>
  <si>
    <t>1.Kiểm tra vị trí, font chữ, size chữ, màu sắc</t>
  </si>
  <si>
    <t>1. Kiểm tra trạng thái</t>
  </si>
  <si>
    <t>1. Kiểm tra giá trị default</t>
  </si>
  <si>
    <t>1. Các item đều ở trạng thái enable</t>
  </si>
  <si>
    <t>1. Các text box đều hiển thị trắng</t>
  </si>
  <si>
    <t>Nhập email không đúng định dạng xxx@xxx.xxx</t>
  </si>
  <si>
    <t>1. Hiển thị thông báo "Email không được để trống!"</t>
  </si>
  <si>
    <t>1. Nhập thông tin                      - Email: Bỏ trống                    - Nhập các trường còn lại hợp lệ                                            2. Kích button "Đăng ký"</t>
  </si>
  <si>
    <t>1. Nhập thông tin                    - Email: hang3110gamil.com   - Nhập các trường còn lại hợp lệ                                           2. Kích button "Đăng ký"</t>
  </si>
  <si>
    <t>Nhập email có kí tự đặc biệt</t>
  </si>
  <si>
    <t>1. Nhập thông tin                    - Email: hang3110gmail.com!   - Nhập các trường còn lại hợp lệ                                           2. Kích button "Đăng ký"</t>
  </si>
  <si>
    <t>Mật khẩu</t>
  </si>
  <si>
    <t>Bỏ trống mật khẩu</t>
  </si>
  <si>
    <t>1. Nhập thông tin                    - Mật khẩu: Bỏ trống             - Nhập các trường còn lại hợp lệ                                           2. Kích button "Đăng ký"</t>
  </si>
  <si>
    <t xml:space="preserve">Nhập mật khẩu toàn số </t>
  </si>
  <si>
    <t>1. Nhập thông tin                    - Mật khẩu: 123456               - Nhập các trường còn lại hợp lệ                                           2. Kích button "Đăng ký"</t>
  </si>
  <si>
    <t>1. Hiển thị thông báo "Passwords must have at least one non letter or digit character. Passwords must have at least one lowercase ('a'-'z'). Passwords must have at least one uppercase ('A'-'Z')."</t>
  </si>
  <si>
    <t>Nhập mật khẩu toàn chữ</t>
  </si>
  <si>
    <t>1. Nhập thông tin                    - Mật khẩu: hang2004               - Nhập các trường còn lại hợp lệ                                           2. Kích button "Đăng ký"</t>
  </si>
  <si>
    <t>1. Hiển thị thông báo "Passwords must have at least one non letter or digit character. Passwords must have at least one uppercase ('A'-'Z')."</t>
  </si>
  <si>
    <t>1. Nhập thông tin                    - Mật khẩu: hanghang               - Nhập các trường còn lại hợp lệ                                           2. Kích button "Đăng ký"</t>
  </si>
  <si>
    <t>Nhập mật khẩu có cả chữ và số</t>
  </si>
  <si>
    <t>1. Hiển thị thông báo "Passwords must have at least one non letter or digit character. Passwords must have at least one digit ('0'-'9'). Passwords must have at least one uppercase ('A'-'Z')."</t>
  </si>
  <si>
    <t>1. Nhập thông tin                    - Mật khẩu: hang2004@               - Nhập các trường còn lại hợp lệ                                           2. Kích button "Đăng ký"</t>
  </si>
  <si>
    <t>1. Hiển thị thông báo "Passwords must have at least one uppercase ('A'-'Z')."</t>
  </si>
  <si>
    <t>1. Nhập thông tin                    - Mật khẩu: Hang2004               - Nhập các trường còn lại hợp lệ                                           2. Kích button "Đăng ký"</t>
  </si>
  <si>
    <t>Nhập mật khẩu có chữ, số, kí tự đặc biệt</t>
  </si>
  <si>
    <t xml:space="preserve">Nhập mật khẩu có chữ cái đầu in hoa, có chữ, có số </t>
  </si>
  <si>
    <t>1. Hiển thị thông báo "Passwords must have at least one non letter or digit character."</t>
  </si>
  <si>
    <t>Nhập sai mật khẩu</t>
  </si>
  <si>
    <t>Xác thực mật khẩu</t>
  </si>
  <si>
    <t>1. Nhập thông tin                    - Mật khẩu: Hang2004@         - Xác nhận mật khẩu: Hang2004                               - Nhập các trường còn lại hợp lệ                                           2. Kích button "Đăng ký"</t>
  </si>
  <si>
    <t>1. Hiển thị thông báo "Mật khẩu xác thực không khớp!"</t>
  </si>
  <si>
    <t>Bỏ trống xác thực mật khẩu</t>
  </si>
  <si>
    <t>1. Nhập thông tin                           - Xác nhận mật khẩu: Bỏ trống                                    - Nhập các trường còn lại hợp lệ                                           2. Kích button "Đăng ký"</t>
  </si>
  <si>
    <t>Họ tên</t>
  </si>
  <si>
    <t>Bỏ trống họ tên</t>
  </si>
  <si>
    <t>1. Nhập thông tin                           - Họ tên: Bỏ trống                                    - Nhập các trường còn lại hợp lệ                                           2. Kích button "Đăng ký"</t>
  </si>
  <si>
    <t>1. Hiển thị thông báo "Họ tên không được để trống!"</t>
  </si>
  <si>
    <t>Nhập họ tên toàn số</t>
  </si>
  <si>
    <t>Nhập họ tên toàn chữ</t>
  </si>
  <si>
    <t>Button Đăng ký</t>
  </si>
  <si>
    <t>1. Hiển thị thông báo "Đăng ký tài khoản khách thành công"                      2. Tài khoản được lưu vào bảng TAI_KHOAN trong database</t>
  </si>
  <si>
    <t>Business</t>
  </si>
  <si>
    <t>DK_09</t>
  </si>
  <si>
    <t>DK_10</t>
  </si>
  <si>
    <t>DK_11</t>
  </si>
  <si>
    <t>DK_12</t>
  </si>
  <si>
    <t>DK_13</t>
  </si>
  <si>
    <t>DK_14</t>
  </si>
  <si>
    <t>DK_15</t>
  </si>
  <si>
    <t>DK_16</t>
  </si>
  <si>
    <t>DK_17</t>
  </si>
  <si>
    <t>DK_21</t>
  </si>
  <si>
    <t>P0</t>
  </si>
  <si>
    <t>Kiểm tra cách thức truy cập vào màn hình đăng nhập</t>
  </si>
  <si>
    <t>1. Kích button "Login"</t>
  </si>
  <si>
    <t>1. Hiển thị màn hình đăng nhập</t>
  </si>
  <si>
    <t>Priovity</t>
  </si>
  <si>
    <t>1. Hiển thị thông báo "The Email field is required."</t>
  </si>
  <si>
    <t>Đã có tài khoản</t>
  </si>
  <si>
    <t>1. Nhập thông tin                    - Email: hang3110gmail.com   - Nhập các trường còn lại hợp lệ                                           2. Kích button "Đăng ký"</t>
  </si>
  <si>
    <t>1. Hiển thị thông báo "The Email field is not a valid e-mail address."</t>
  </si>
  <si>
    <t>1. Hiển thị thông báo "The Password field is required."</t>
  </si>
  <si>
    <t>1. Hiển thị thông báo "Invalid login attempt."</t>
  </si>
  <si>
    <t>Xác minh rằng user đăng ký thành công với tài khoản hợp lệ</t>
  </si>
  <si>
    <t>1. Nhập thông tin                    - Các trường hợp lệ
2. Kích button "Đăng ký"</t>
  </si>
  <si>
    <t>1. Nhập thông tin                    - Các trường hợp lệ
2. Kích button "Đăng nhập"</t>
  </si>
  <si>
    <t xml:space="preserve">1. Hiển thị thông báo "Đăng ký tài khoản khách thành công"                      2. Hiển thị màn hình của khách                    </t>
  </si>
  <si>
    <t>Xác minh rằng user đăng nhập không thành công với email sai</t>
  </si>
  <si>
    <t>1. Nhập thông tin                      - Nhập email sai                     - Các trường hợp lệ
2. Kích button "Đăng nhập"</t>
  </si>
  <si>
    <t>Xác minh rằng user đăng nhập không thành công với mật khẩu sai</t>
  </si>
  <si>
    <t>1. Nhập thông tin                      - Nhập mật khẩu sai                     - Các trường hợp lệ
2. Kích button "Đăng nhập"</t>
  </si>
  <si>
    <t>DN_01</t>
  </si>
  <si>
    <t>DN_02</t>
  </si>
  <si>
    <t>DN_03</t>
  </si>
  <si>
    <t>DN_04</t>
  </si>
  <si>
    <t>DN_05</t>
  </si>
  <si>
    <t>DN_06</t>
  </si>
  <si>
    <t>DN_07</t>
  </si>
  <si>
    <t>DN_08</t>
  </si>
  <si>
    <t>DN_09</t>
  </si>
  <si>
    <t>DN_10</t>
  </si>
  <si>
    <t>DN_11</t>
  </si>
  <si>
    <t>DN_12</t>
  </si>
  <si>
    <t>DN_13</t>
  </si>
  <si>
    <t>DN_14</t>
  </si>
  <si>
    <t>DN_15</t>
  </si>
  <si>
    <t>Kiểm tra cách thức user truy cập vào màn hình đăng ký</t>
  </si>
  <si>
    <t>Xác minh rằng admin đăng nhập thành công với tài khoản hợp lệ</t>
  </si>
  <si>
    <t>Xác minh rằng admin đăng nhập không thành công với email sai</t>
  </si>
  <si>
    <t>Xác minh rằng admin đăng nhập không thành công với mật khẩu sai</t>
  </si>
  <si>
    <t>Button Đăng nhập</t>
  </si>
  <si>
    <t>Kiểm tra cách thức user truy cập vào màn hình quản lý giỏ hàng khi đã đăng nhập</t>
  </si>
  <si>
    <t>1. Hiển thị màn hình quản lý giỏ hàng</t>
  </si>
  <si>
    <t>Kiểm tra cách thức user truy cập vào màn hình quản lý giỏ hàng khi chưa đăng nhập</t>
  </si>
  <si>
    <t>Đã đăng nhập</t>
  </si>
  <si>
    <t xml:space="preserve">Chưa đăng nhập </t>
  </si>
  <si>
    <t>1. Kích button "Giỏ hàng"</t>
  </si>
  <si>
    <t>1. Không hiển thị màn hình quản lý giỏ hàng</t>
  </si>
  <si>
    <t>Số lượng</t>
  </si>
  <si>
    <t>Nhập số lượng là số âm</t>
  </si>
  <si>
    <t>1. Hiển thị thông báo "Số lượng không hợp lệ "</t>
  </si>
  <si>
    <t>Nhập số lượng không phải số nguyên</t>
  </si>
  <si>
    <t xml:space="preserve">1. Nhập số lương : -1                                           </t>
  </si>
  <si>
    <t xml:space="preserve">1. Nhập số lương : 1.2                                          </t>
  </si>
  <si>
    <t>1. Hiển thị thông báo "Nhập sai định dạng số lượng!"</t>
  </si>
  <si>
    <t>Nhập số lượng là số 0</t>
  </si>
  <si>
    <t>1. Nhập số lương : 0</t>
  </si>
  <si>
    <t>1. Hiển thị thông báo "Bạn có muốn xóa sản phẩm này hay không"</t>
  </si>
  <si>
    <t>Bỏ trống số lượng</t>
  </si>
  <si>
    <t>1. Nhập số lương : Bỏ trống</t>
  </si>
  <si>
    <t>Nhập số lượng lớn hơn số lượng tồn</t>
  </si>
  <si>
    <t>Sản phẩm có số lượng tồn =20</t>
  </si>
  <si>
    <t>1. Nhập số lương : 21</t>
  </si>
  <si>
    <t>1. Hiển thị thông báo "Số lượng vượt quá cho phép"</t>
  </si>
  <si>
    <t>Nhập số lượng &gt;50</t>
  </si>
  <si>
    <t>1. Nhập số lương : 50</t>
  </si>
  <si>
    <t>1. Hiển thị thông báo "Mua hàng số lượng lớn &gt; 50 liên hệ Admin!"</t>
  </si>
  <si>
    <t>Xóa sản phẩm ra khỏi giỏ hàng</t>
  </si>
  <si>
    <t>1. Kích button "Xóa bỏ"</t>
  </si>
  <si>
    <t xml:space="preserve">1. Hiển thị thông báo "Xóa mặt hàng thành công"       </t>
  </si>
  <si>
    <t>Xóa tất cả các sản phẩm trong giỏ hàng</t>
  </si>
  <si>
    <t>1. Kích button "Xóa giỏ hàng"</t>
  </si>
  <si>
    <t xml:space="preserve">1. Hiển thị thông báo "Xóa giỏ hàng thành công"       </t>
  </si>
  <si>
    <t>Xóa sản phẩm</t>
  </si>
  <si>
    <t>Sửa số lượng</t>
  </si>
  <si>
    <t>Tăng sản phẩm</t>
  </si>
  <si>
    <t>1. Kích "^" trên màn hình</t>
  </si>
  <si>
    <t>1. Sản phẩm thêm thành công</t>
  </si>
  <si>
    <t>Giảm sản phẩm</t>
  </si>
  <si>
    <t>1. Kích "v" trên màn hình</t>
  </si>
  <si>
    <t>1. Sản phẩm giảm thành công</t>
  </si>
  <si>
    <t>Giảm sản phẩm về 0</t>
  </si>
  <si>
    <t>Số lượng = 1</t>
  </si>
  <si>
    <t>Đã có sản phẩm trong giỏ hàng</t>
  </si>
  <si>
    <t>QLGH_01</t>
  </si>
  <si>
    <t>QLGH_02</t>
  </si>
  <si>
    <t>QLGH_03</t>
  </si>
  <si>
    <t>QLGH_04</t>
  </si>
  <si>
    <t>QLGH_05</t>
  </si>
  <si>
    <t>QLGH_06</t>
  </si>
  <si>
    <t>QLGH_07</t>
  </si>
  <si>
    <t>QLGH_08</t>
  </si>
  <si>
    <t>QLGH_09</t>
  </si>
  <si>
    <t>QLGH_10</t>
  </si>
  <si>
    <t>QLGH_11</t>
  </si>
  <si>
    <t>QLGH_12</t>
  </si>
  <si>
    <t>QLGH_13</t>
  </si>
  <si>
    <t>QLGH_14</t>
  </si>
  <si>
    <t>QLGH_15</t>
  </si>
  <si>
    <t>QLGH_16</t>
  </si>
  <si>
    <t>QLGH_17</t>
  </si>
  <si>
    <t>Kiểm tra cách thức user truy cập vào màn hình xem chi tiết sản phẩm khi đã đăng nhập</t>
  </si>
  <si>
    <t>Kiểm tra cách thức user truy cập vào màn hình xem chi tiết sản phẩm khi chưa đăng nhập</t>
  </si>
  <si>
    <t>1. Kích button "Xem" hoặc kích vào button "Xem tất cả sản phẩm" rồi kích "Xem chi tiết"</t>
  </si>
  <si>
    <t>1. Hiển thị màn hình xem chi tiết sản phẩm</t>
  </si>
  <si>
    <t>Đang ở màn hình chi tiết sản phẩm</t>
  </si>
  <si>
    <t>1. Truy cập trang chi tiết sản phẩm</t>
  </si>
  <si>
    <t>1. Hệ thống hiển thị đúng tên sản phẩm</t>
  </si>
  <si>
    <t>1. Hệ thống hiển thị đúng giá sản phẩm</t>
  </si>
  <si>
    <t>Hiển thị tên sản phẩm</t>
  </si>
  <si>
    <t>Hiển thị giá sản phẩm</t>
  </si>
  <si>
    <t>Hiển thị hình ảnh sản phẩm</t>
  </si>
  <si>
    <t>1. Hệ thống hiển thị hình ảnh load thành công, đúng hình ảnh sản phẩm</t>
  </si>
  <si>
    <t>Hiển thị thông số kỹ thuật sản phẩm</t>
  </si>
  <si>
    <t>1. Hệ thống hiển thị các trường: CPU, GPU, RAM, màn hình, pin…</t>
  </si>
  <si>
    <t>Button Thêm vào giỏ hàng</t>
  </si>
  <si>
    <t>1. Kích button "Thêm vào giỏ"</t>
  </si>
  <si>
    <t>Kích thêm giỏ hàng 1 lần</t>
  </si>
  <si>
    <t>Kích thêm giỏ hàng 2 lần</t>
  </si>
  <si>
    <t>1. Kích 2 lần button "Thêm vào giỏ"</t>
  </si>
  <si>
    <t>Đang ở màn hình chi tiết sản phẩm và sản phẩm này đã thêm vào giỏ hàng</t>
  </si>
  <si>
    <t xml:space="preserve">1. Hệ thống thêm sản phẩm trong giỏ hàng và tăng số lượng sản phẩm lên </t>
  </si>
  <si>
    <t>1. Hệ thống hiển thị thông báo "Thêm giỏ hàng thành công" và sản phẩm được thêm vào giỏ hàng</t>
  </si>
  <si>
    <t>Button Mua thêm</t>
  </si>
  <si>
    <t>Kích mua thêm</t>
  </si>
  <si>
    <t>1. Kích button "Mua thêm"</t>
  </si>
  <si>
    <t>1. Hệ thống sẽ chuyển về trang chủ</t>
  </si>
  <si>
    <t>Hiển thị mô tả sản phẩm</t>
  </si>
  <si>
    <t>1. Hệ thống hiển thị mô tả đúng sản phẩm bao gồm: thông tin, hình ảnh</t>
  </si>
  <si>
    <t>1. Nhập thông tin:                   - Họ tên: Hang                       - Nhập các trường còn lại hợp lệ                                          2. Kích button "Gửi"</t>
  </si>
  <si>
    <t xml:space="preserve">1. Hệ thống hiển thị thông tin đánh giá dưới phần mà bạn viết đánh giá </t>
  </si>
  <si>
    <t>1. Nhập thông tin:                   - Họ tên: 12345                      - Nhập các trường còn lại hợp lệ                                          2. Kích button "Gửi"</t>
  </si>
  <si>
    <t>1. Hệ thống hiển thị thông báo "Bạn chưa điền đủ thông tin hoặc chưa vote! 🆘🆘🆘!"</t>
  </si>
  <si>
    <t>1. Nhập thông tin:                   - Họ tên: Bỏ trống                 - Nhập các trường còn lại hợp lệ                                   2. Kích button "Gửi"</t>
  </si>
  <si>
    <t>Thêm đánh giá</t>
  </si>
  <si>
    <t xml:space="preserve">Bỏ trống thêm đánh giá </t>
  </si>
  <si>
    <t>1. Nhập thông tin:                   - Đánh giá: Bỏ trống              - Nhập các trường còn lại hợp lệ                                   2. Kích button "Gửi"</t>
  </si>
  <si>
    <t>Nhập có kí tự đặc biệt</t>
  </si>
  <si>
    <t>1. Nhập thông tin:                   - Đánh giá: rattot@              - Nhập các trường còn lại hợp lệ                                   2. Kích button "Gửi"</t>
  </si>
  <si>
    <t>Sao đánh giá</t>
  </si>
  <si>
    <t>Không chọn sao đánh giá</t>
  </si>
  <si>
    <t>1. Nhập thông tin:                   -  Sao đánh giá: Không nhập                                             - Nhập các trường còn lại hợp lệ                                   2. Kích button "Gửi"</t>
  </si>
  <si>
    <t>1. Hệ thống thêm đánh giá thành công và hiển thị số sao là 1 sao</t>
  </si>
  <si>
    <t>Hiển thị sản phẩm liên quan</t>
  </si>
  <si>
    <t>1. Hệ thống hiển thị các sản phẩm có liên quan cùng với sản phẩm bạn đang xem</t>
  </si>
  <si>
    <t>XCTSP_01</t>
  </si>
  <si>
    <t>XCTSP_02</t>
  </si>
  <si>
    <t>XCTSP_03</t>
  </si>
  <si>
    <t>XCTSP_04</t>
  </si>
  <si>
    <t>XCTSP_05</t>
  </si>
  <si>
    <t>XCTSP_06</t>
  </si>
  <si>
    <t>XCTSP_07</t>
  </si>
  <si>
    <t>XCTSP_08</t>
  </si>
  <si>
    <t>XCTSP_09</t>
  </si>
  <si>
    <t>XCTSP_10</t>
  </si>
  <si>
    <t>XCTSP_11</t>
  </si>
  <si>
    <t>XCTSP_12</t>
  </si>
  <si>
    <t>XCTSP_13</t>
  </si>
  <si>
    <t>XCTSP_14</t>
  </si>
  <si>
    <t>XCTSP_15</t>
  </si>
  <si>
    <t>XCTSP_16</t>
  </si>
  <si>
    <t>XCTSP_17</t>
  </si>
  <si>
    <t>XCTSP_18</t>
  </si>
  <si>
    <t>XCTSP_19</t>
  </si>
  <si>
    <t>XCTSP_20</t>
  </si>
  <si>
    <t>XCTSP_21</t>
  </si>
  <si>
    <t>Kiểm tra cách thức user truy cập vào màn hình xem tin tức theo danh mục khi đã đăng nhập</t>
  </si>
  <si>
    <t>Kiểm tra cách thức user truy cập vào màn hình xem tin tức theo danh mục khi chưa đăng nhập</t>
  </si>
  <si>
    <t xml:space="preserve">1. Kích button "Blog" trên thanh menu                           2. Kích vào 1 danh mục </t>
  </si>
  <si>
    <t xml:space="preserve">1. Hiển thị màn hình các bài viết có trong danh mục </t>
  </si>
  <si>
    <t>Hiển thị tên bài viết</t>
  </si>
  <si>
    <t>1. Truy cập trang bài viết</t>
  </si>
  <si>
    <t>1. Hệ thống hiển thị đúng tên bài viết</t>
  </si>
  <si>
    <t>Hiển thị hình ảnh bài viết</t>
  </si>
  <si>
    <t>1. Hệ thống hiển thị hình ảnh load thành công, đúng hình ảnh bài viết</t>
  </si>
  <si>
    <t>Hiển thị ngày cập nhật bài viết</t>
  </si>
  <si>
    <t>1. Hệ thống hiển thị đúng ngày cập nhật bài viết</t>
  </si>
  <si>
    <t>Hiển thị số sao đánh giá bài viết</t>
  </si>
  <si>
    <t>1. Hệ thống hiển thị đúng số sao bài viết</t>
  </si>
  <si>
    <t>Button Xem chi tiết</t>
  </si>
  <si>
    <t>Đang ở trang bài viết</t>
  </si>
  <si>
    <t>1. Kích button "Xem chi tiết"</t>
  </si>
  <si>
    <t>1. Hệ thống hiển thị đúng hình ảnh bài viết</t>
  </si>
  <si>
    <t>XTTTDM_01</t>
  </si>
  <si>
    <t>XTTTDM_02</t>
  </si>
  <si>
    <t>XTTTDM_03</t>
  </si>
  <si>
    <t>XTTTDM_04</t>
  </si>
  <si>
    <t>XTTTDM_05</t>
  </si>
  <si>
    <t>XTTTDM_06</t>
  </si>
  <si>
    <t>XTTTDM_07</t>
  </si>
  <si>
    <t>XTTTDM_08</t>
  </si>
  <si>
    <t>XTTTDM_09</t>
  </si>
  <si>
    <t>XTTTDM_10</t>
  </si>
  <si>
    <t>XTTTDM_11</t>
  </si>
  <si>
    <t>XTTTDM_12</t>
  </si>
  <si>
    <t>XTTTDM_13</t>
  </si>
  <si>
    <t>Kiểm tra cách thức user truy cập vào màn hình tìm kiếm sản phẩm khi đã đăng nhập</t>
  </si>
  <si>
    <t>Kiểm tra cách thức user truy cập vào màn hình tìm kiếm sản phẩm khi chưa đăng nhập</t>
  </si>
  <si>
    <t>1. Vào trang chủ</t>
  </si>
  <si>
    <t>1. Hiển thị ô tìm kiếm sản phẩm</t>
  </si>
  <si>
    <t>Tìm kiếm sản phẩm theo tên chính xác</t>
  </si>
  <si>
    <t>1. Nhập ô tìm kiếm: Laptop HP                                        2. Kích button "Search"</t>
  </si>
  <si>
    <t>1. Hệ thống hiển thị các sản phẩm có tên tìm kiếm là "Laptop HP"</t>
  </si>
  <si>
    <t xml:space="preserve">Tìm kiếm sản phẩm theo tên chính xác không phân biệt hoa thường </t>
  </si>
  <si>
    <t>1. Nhập ô tìm kiếm: laptop hp                                        2. Kích button "Search"</t>
  </si>
  <si>
    <t>Tìm kiếm sản phẩm theo tên tương đối</t>
  </si>
  <si>
    <t>1. Nhập ô tìm kiếm: dell          2. Kích button "Search"</t>
  </si>
  <si>
    <t>1. Hệ thống hiển thị các sản phẩm có tên tìm kiếm là "dell"</t>
  </si>
  <si>
    <t>Tìm kiếm sản phẩm có khoảng trắng ở đầu và cuối</t>
  </si>
  <si>
    <t>Không nhập tên sản phẩm</t>
  </si>
  <si>
    <t>1. Nhập ô tìm kiếm: Bỏ trống          2. Kích button "Search"</t>
  </si>
  <si>
    <t>1. Hệ thống hiển thị thông báo "Pease fill out this field"</t>
  </si>
  <si>
    <t>Tìm kiếm sản phẩm không có</t>
  </si>
  <si>
    <t>1. Nhập ô tìm kiếm: XYZ          2. Kích button "Search"</t>
  </si>
  <si>
    <t>1. Hệ thống hiển thị trang trắng</t>
  </si>
  <si>
    <t>Tìm kiếm</t>
  </si>
  <si>
    <t>Phân trang</t>
  </si>
  <si>
    <t>Không phân trang</t>
  </si>
  <si>
    <t>Số SP &lt;=3</t>
  </si>
  <si>
    <t>1. Kích button "Search"</t>
  </si>
  <si>
    <t>1.Hệ thống sẽ hiển thị tất cả các sản phẩm ở trang 1</t>
  </si>
  <si>
    <t>Chuyển sang trang khác</t>
  </si>
  <si>
    <t xml:space="preserve">Số SP &gt;3 </t>
  </si>
  <si>
    <t>1. Kích button "Search"           2. Kích số 2 hoặc "&gt;&gt;"</t>
  </si>
  <si>
    <t xml:space="preserve">1. Hệ thống chuyển sang trang 2 </t>
  </si>
  <si>
    <t>Chuyển về trang đầu</t>
  </si>
  <si>
    <t>Số SP &gt;4</t>
  </si>
  <si>
    <t>1. Kích button "Search"           2. Kích số 1 hoặc "&lt;&lt;"</t>
  </si>
  <si>
    <t>1. Hệ thống chuyển sang trang 1</t>
  </si>
  <si>
    <t>TKSP_01</t>
  </si>
  <si>
    <t>TKSP_02</t>
  </si>
  <si>
    <t>TKSP_03</t>
  </si>
  <si>
    <t>TKSP_04</t>
  </si>
  <si>
    <t>TKSP_05</t>
  </si>
  <si>
    <t>TKSP_06</t>
  </si>
  <si>
    <t>TKSP_07</t>
  </si>
  <si>
    <t>TKSP_08</t>
  </si>
  <si>
    <t>TKSP_09</t>
  </si>
  <si>
    <t>TKSP_10</t>
  </si>
  <si>
    <t>TKSP_11</t>
  </si>
  <si>
    <t>TKSP_12</t>
  </si>
  <si>
    <t>TKSP_13</t>
  </si>
  <si>
    <t>TKSP_14</t>
  </si>
  <si>
    <t>TKSP_15</t>
  </si>
  <si>
    <t>f</t>
  </si>
  <si>
    <t>Module Code</t>
  </si>
  <si>
    <t>Untested</t>
  </si>
  <si>
    <t>N/A</t>
  </si>
  <si>
    <t>Number of Test cases</t>
  </si>
  <si>
    <t>Đăng ký</t>
  </si>
  <si>
    <t>Lương Thu Hằng</t>
  </si>
  <si>
    <t>Quản lý giỏ hàng</t>
  </si>
  <si>
    <t>Xem chi tiết sản phẩm</t>
  </si>
  <si>
    <t>Xem tin tức theo danh mục</t>
  </si>
  <si>
    <t>Tìm kiếm sản phẩm</t>
  </si>
  <si>
    <t>Lịch sử mua hàng</t>
  </si>
  <si>
    <t>Kiểm tra cách thức user truy cập vào màn hình lịch sử mua hàng khi đã đăng nhập</t>
  </si>
  <si>
    <t>1. Kích "Đơn hàng của bạn"</t>
  </si>
  <si>
    <t>1. Hiển thị màn hình lịch sử mua hàng</t>
  </si>
  <si>
    <t>Kiểm tra cách thức user truy cập vào màn hình lịch sử mua hàng khi chưa đăng nhập</t>
  </si>
  <si>
    <t>1. Không hiển thị button đơn hàng của bạn</t>
  </si>
  <si>
    <t xml:space="preserve">Hiển thị danh sách các đơn hàng </t>
  </si>
  <si>
    <t>1. Truy cập "Đơn hàng của bạn"</t>
  </si>
  <si>
    <t>1. Hệ thống hiển thị tất cả các đơn hàng mà bạn đã mua</t>
  </si>
  <si>
    <t>Xem chi tiết đơn hàng</t>
  </si>
  <si>
    <t>1. Kích button "Xem"</t>
  </si>
  <si>
    <t>1. Hệ thống hiển thị chi tiết đơn hàng mà bạn đã mua</t>
  </si>
  <si>
    <t>Quay lại màn hình danh sách các đơn hàng</t>
  </si>
  <si>
    <t>1. Kích button "Quay lại"</t>
  </si>
  <si>
    <t>1. Hệ thống quay lại màn hình chi tiết các đơn hàng</t>
  </si>
  <si>
    <t>LSMH_01</t>
  </si>
  <si>
    <t>LSMH_02</t>
  </si>
  <si>
    <t>LSMH_03</t>
  </si>
  <si>
    <t>LSMH_04</t>
  </si>
  <si>
    <t>LSMH_05</t>
  </si>
  <si>
    <t>LSMH_06</t>
  </si>
  <si>
    <t>LSMH_07</t>
  </si>
  <si>
    <t>LSMH_08</t>
  </si>
  <si>
    <t>LSMH_09</t>
  </si>
  <si>
    <t>Kiểm tra cách thức user truy cập vào màn hình đặt hàng khi đã đăng nhập</t>
  </si>
  <si>
    <t>Kiểm tra cách thức user truy cập vào màn hình đặt hàng khi chưa đăng nhập</t>
  </si>
  <si>
    <t>1. Hiển thị màn hình đặt hàng</t>
  </si>
  <si>
    <t>1. Không hiển thị màn hình đặt hàng</t>
  </si>
  <si>
    <t>1. Thêm 1 sản phẩm trong giỏ hàng                               2. Kích button "Giỏ hàng"       3. Kích button "Thanh toán giỏ hàng"</t>
  </si>
  <si>
    <t>Hiển thị tên laptop</t>
  </si>
  <si>
    <t>1. Truy cập màn hình đặt hàng</t>
  </si>
  <si>
    <t>1. Hệ thống hiển thị đúng tên laptop</t>
  </si>
  <si>
    <t xml:space="preserve">Hiển thị hình ảnh </t>
  </si>
  <si>
    <t>1. Hệ thống hiển thị đúng hình ảnh</t>
  </si>
  <si>
    <t xml:space="preserve">Hiển thị giá bán </t>
  </si>
  <si>
    <t xml:space="preserve">Hiển thị số lượng </t>
  </si>
  <si>
    <t xml:space="preserve">Hiển thị thành tiền </t>
  </si>
  <si>
    <t>1. Hệ thống hiển thị đúng giá bán</t>
  </si>
  <si>
    <t>1. Hệ thống hiển thị đúng số lượng</t>
  </si>
  <si>
    <t>1. Hệ thống hiển thị đúng thành tiền</t>
  </si>
  <si>
    <t>Quay lại màn hình giỏ hàng</t>
  </si>
  <si>
    <t>1. Kích button "Trở về giỏ hàng"</t>
  </si>
  <si>
    <t>1. Hệ thống quay lại màn hình giỏ hàng</t>
  </si>
  <si>
    <t>Hiển thị màn hình chi tiết đơn hàng</t>
  </si>
  <si>
    <t>1. Kích button "Thanh toán"</t>
  </si>
  <si>
    <t>1. Hệ thống hiển thị thông báo chi tiết gồm: Họ tên khách hàng, Email, Điện thoại, Địa chỉ, Ngày đặt</t>
  </si>
  <si>
    <t xml:space="preserve">Đặt hàng </t>
  </si>
  <si>
    <t>1. Kích button "Đặt hàng"</t>
  </si>
  <si>
    <t>1. Hệ thống hiển thị thông báo "Đơn hàng được khởi tạo thành công"                                2. Đơn hàng được lưu trong database</t>
  </si>
  <si>
    <t>Không đặt hàng</t>
  </si>
  <si>
    <t>1. Kích button "X" trên màn hình thông báo</t>
  </si>
  <si>
    <t>1. Hệ thống quay lại màn hình đặt hàng</t>
  </si>
  <si>
    <t>Đặt hàng</t>
  </si>
  <si>
    <t>Mua thêm</t>
  </si>
  <si>
    <t>1. Hệ thống hiển thị màn hình các sản phẩm</t>
  </si>
  <si>
    <t>Mua thêm sản phẩm</t>
  </si>
  <si>
    <t>1. Hệ thống hiển thị màn hình sản phẩm mà khách hàng vừa chọn thêm, sản phẩm lúc đầu và thành tiền thay đổi</t>
  </si>
  <si>
    <t xml:space="preserve">Mua thêm nhiều sản phẩm </t>
  </si>
  <si>
    <t>DH_01</t>
  </si>
  <si>
    <t>DH_02</t>
  </si>
  <si>
    <t>DH_03</t>
  </si>
  <si>
    <t>DH_04</t>
  </si>
  <si>
    <t>DH_05</t>
  </si>
  <si>
    <t>DH_06</t>
  </si>
  <si>
    <t>DH_07</t>
  </si>
  <si>
    <t>DH_08</t>
  </si>
  <si>
    <t>DH_09</t>
  </si>
  <si>
    <t>DH_10</t>
  </si>
  <si>
    <t>DH_11</t>
  </si>
  <si>
    <t>DH_12</t>
  </si>
  <si>
    <t>DH_13</t>
  </si>
  <si>
    <t>DH_14</t>
  </si>
  <si>
    <t>DH_15</t>
  </si>
  <si>
    <t>DH_16</t>
  </si>
  <si>
    <t>DH_17</t>
  </si>
  <si>
    <t>Hiển thị các hãng</t>
  </si>
  <si>
    <t>1. Kích button "Hãng sản phẩm"</t>
  </si>
  <si>
    <t>1. Hệ thống hiển thị danh sách các sản phẩm theo từng hãng</t>
  </si>
  <si>
    <t>Chọn 1 hãng</t>
  </si>
  <si>
    <t>1. Kích button "HP"</t>
  </si>
  <si>
    <t>1. Hệ thống hiển thị các sản phẩm theo hãng có tên HP</t>
  </si>
  <si>
    <t>Hiển thị giá</t>
  </si>
  <si>
    <t>Hiển thị đánh giá</t>
  </si>
  <si>
    <t>1. Hiển thị đúng tên laptop</t>
  </si>
  <si>
    <t>1. Hiển thị đúng giá</t>
  </si>
  <si>
    <t xml:space="preserve">1. Hiển thị đúng đánh giá </t>
  </si>
  <si>
    <t>Kiểm tra cách thức user truy cập vào màn hình thêm sản phẩm đã đăng nhập</t>
  </si>
  <si>
    <t>Kiểm tra cách thức user truy cập vào màn hình thêm sản phẩm khi chưa đăng nhập</t>
  </si>
  <si>
    <t xml:space="preserve">1. Kích button "Mua" </t>
  </si>
  <si>
    <t>Đã đăng nhập và đang ở màn hình trang chủ</t>
  </si>
  <si>
    <t>Chưa đăng nhập và đang ở màn hình trang chủ</t>
  </si>
  <si>
    <t>1. Hệ thống thêm sản phẩm vào giỏ hàng</t>
  </si>
  <si>
    <t>1. Hệ thống yêu cầu đăng nhập</t>
  </si>
  <si>
    <t>1. Hệ thống hiển thị thông báo "Thêm sản phẩm vào giỏ hàng thành công"</t>
  </si>
  <si>
    <t xml:space="preserve">Thêm sản phẩm với số lượng =1 </t>
  </si>
  <si>
    <t xml:space="preserve">Thêm sản phẩm với số lượng =2 </t>
  </si>
  <si>
    <t xml:space="preserve">1. Kích 2 lần button "Xem"             </t>
  </si>
  <si>
    <t>1. Hệ thống tự động thêm sản phẩm trong giỏ hàng</t>
  </si>
  <si>
    <t>Thêm 2 sản phẩm khác nhau</t>
  </si>
  <si>
    <t>Đã có 1 sp trong giỏ hàng</t>
  </si>
  <si>
    <t>Thêm sản phẩm vào giỏ hàng</t>
  </si>
  <si>
    <t>TSPGH_01</t>
  </si>
  <si>
    <t>TSPGH_02</t>
  </si>
  <si>
    <t>TSPGH_03</t>
  </si>
  <si>
    <t>TSPGH_04</t>
  </si>
  <si>
    <t>TSPGH_05</t>
  </si>
  <si>
    <t>TSPGH_06</t>
  </si>
  <si>
    <t>TSPGH_07</t>
  </si>
  <si>
    <t>TSPGH_08</t>
  </si>
  <si>
    <t>TSPGH_09</t>
  </si>
  <si>
    <t>Kiểm tra cách thức user truy cập vào màn quản lý thông tin tài khoản đã đăng nhập</t>
  </si>
  <si>
    <t>Kiểm tra cách thức user truy cập vào màn hình quản lý thông tin tài khoản khi chưa đăng nhập</t>
  </si>
  <si>
    <t>1. Màn hình trang chủ</t>
  </si>
  <si>
    <t>1. Không hiển thị quản lý thông tin tài khoản</t>
  </si>
  <si>
    <t xml:space="preserve">1. Kích tên tài khoản          </t>
  </si>
  <si>
    <t>1. Hiển thị màn hình quanr lý thông tin tài khoản</t>
  </si>
  <si>
    <t>Phone number</t>
  </si>
  <si>
    <t>Bỏ trống số điện thoại</t>
  </si>
  <si>
    <t>1. Nhập thông tin                  - Phone number: Bỏ trống      - Nhập các trường còn lại hợp lệ                                         2. Kích button "Xác nhận"</t>
  </si>
  <si>
    <t>Nhập chữ</t>
  </si>
  <si>
    <t>1. Nhập thông tin                  - Phone number: jndndjnw      - Nhập các trường còn lại hợp lệ                                         2. Kích button "Xác nhận"</t>
  </si>
  <si>
    <t>1. Hệ thống hiển thị thông báo "The Phone Number field is not a valid phone number."</t>
  </si>
  <si>
    <t>1. Hệ thống hiển thị thông báo "The Phone Number field is required."</t>
  </si>
  <si>
    <t>Nhập kí tự đặc biệt</t>
  </si>
  <si>
    <t>1. Nhập thông tin                  - Phone number: jndndjn@      - Nhập các trường còn lại hợp lệ                                         2. Kích button "Xác nhận"</t>
  </si>
  <si>
    <t>Code</t>
  </si>
  <si>
    <t>Nhập sai code</t>
  </si>
  <si>
    <t>1. Nhập thông tin                  - Code: Nhập đúng                - Nhập các trường còn lại hợp lệ                                         2. Kích button "Xác nhận"</t>
  </si>
  <si>
    <t>1. Hệ thống hiển thị thông báo "Failed to verify phone</t>
  </si>
  <si>
    <t>1. Nhập thông tin                  - Code: Nhập sai                - Nhập các trường còn lại hợp lệ                                         2. Kích button "Xác nhận"</t>
  </si>
  <si>
    <t xml:space="preserve">Nhập đúng code </t>
  </si>
  <si>
    <t>1. Hệ thống tự động thêm số điện thoại</t>
  </si>
  <si>
    <t>Đổi mật khẩu</t>
  </si>
  <si>
    <t>Nhập đúng mật khẩu hiện tại</t>
  </si>
  <si>
    <t>1. Hệ thống hiển thị thông báo "The Current password field is required."</t>
  </si>
  <si>
    <t>Nhập sai mật khẩu hiện tại</t>
  </si>
  <si>
    <t>1. Hệ thống hiển thị thông báo "The New password field is required."</t>
  </si>
  <si>
    <t>Bỏ trống mật khẩu hiện tại</t>
  </si>
  <si>
    <t>Bỏ trống mật khẩu mới</t>
  </si>
  <si>
    <t>1. Nhập thông tin                  - Mật khẩu hiện tại: Nhập đúng                                    - Nhập các trường còn lại hợp lệ                                         2. Kích button "Xác nhận"</t>
  </si>
  <si>
    <t>1. Nhập thông tin                  - Mật khẩu hiển tại: Nhập sai - Nhập các trường còn lại hợp lệ                                         2. Kích button "Xác nhận"</t>
  </si>
  <si>
    <t>1. Nhập thông tin                  - Mật khẩu hiện tại: Bỏ trống - Nhập các trường còn lại hợp lệ                                         2. Kích button "Xác nhận"</t>
  </si>
  <si>
    <t>1. Nhập thông tin                  - Mật khẩu mới : Bỏ trống      - Nhập các trường còn lại hợp lệ                                         2. Kích button "Xác nhận"</t>
  </si>
  <si>
    <t>Bỏ trống xác nhận mật khẩu</t>
  </si>
  <si>
    <t>đã có mật khẩu mới</t>
  </si>
  <si>
    <t>1. Nhập thông tin                  - Xác nhận mật khẩu : Bỏ trống                                    - Nhập các trường còn lại hợp lệ                                         2. Kích button "Xác nhận"</t>
  </si>
  <si>
    <t>1. Hệ thống hiển thị thông báo "The new password and confirmation password do not match"</t>
  </si>
  <si>
    <t>Button Xác nhận</t>
  </si>
  <si>
    <t>Nhập đúng mật khẩu hiển tại và đúng mật khẩu mới</t>
  </si>
  <si>
    <t>1.Nhập đúng mật khẩu hiển tại và đúng mật khẩu mới</t>
  </si>
  <si>
    <t>Nhập đúng mật khẩu hiện tại và xác nhận mật khẩu</t>
  </si>
  <si>
    <t xml:space="preserve">1. Nhập đúng mật khẩu hiện tại và xác nhận mật khẩu            </t>
  </si>
  <si>
    <t>1. Hệ thống hiển thị thông báo "The New password field is required.
The new password and confirmation password do not match."</t>
  </si>
  <si>
    <t>Nhập đúng mật khẩu mới và xác nhận mật khẩu</t>
  </si>
  <si>
    <t>1. Nhập đúng mật khẩu mới và xác nhận mật khẩu</t>
  </si>
  <si>
    <t xml:space="preserve">Quản lý thông tin tài khoản </t>
  </si>
  <si>
    <t>Quản lý sản phẩm</t>
  </si>
  <si>
    <t>Kiểm tra cách thức user truy cập vào màn quản lýsản phẩm đã đăng nhập</t>
  </si>
  <si>
    <t>Đăng nhập bằng tài khoản admin</t>
  </si>
  <si>
    <t>QLTTTK_01</t>
  </si>
  <si>
    <t>QLTTTK_02</t>
  </si>
  <si>
    <t>QLTTTK_03</t>
  </si>
  <si>
    <t>QLTTTK_04</t>
  </si>
  <si>
    <t>QLTTTK_05</t>
  </si>
  <si>
    <t>QLTTTK_06</t>
  </si>
  <si>
    <t>QLTTTK_07</t>
  </si>
  <si>
    <t>QLTTTK_08</t>
  </si>
  <si>
    <t>QLTTTK_09</t>
  </si>
  <si>
    <t>QLTTTK_10</t>
  </si>
  <si>
    <t>QLTTTK_11</t>
  </si>
  <si>
    <t>QLTTTK_12</t>
  </si>
  <si>
    <t>QLTTTK_13</t>
  </si>
  <si>
    <t>QLTTTK_14</t>
  </si>
  <si>
    <t>QLTTTK_15</t>
  </si>
  <si>
    <t>QLTTTK_16</t>
  </si>
  <si>
    <t>QLTTTK_17</t>
  </si>
  <si>
    <t>QLTTTK_18</t>
  </si>
  <si>
    <t>QLTTTK_19</t>
  </si>
  <si>
    <t xml:space="preserve">1. Kích Laptop       </t>
  </si>
  <si>
    <t xml:space="preserve">1. Hiển thị màn hình quản lý sản phẩm </t>
  </si>
  <si>
    <t>Tạo</t>
  </si>
  <si>
    <t>Bỏ trống tên laptop</t>
  </si>
  <si>
    <t>1. Tên laptop: Bỏ trống          2. Nhập các trường còn lại hợp lệ                                    3. Kích "Tạo mới"</t>
  </si>
  <si>
    <t>1. Hệ thống hiển thị thông báo "The tenlaptop field is required."</t>
  </si>
  <si>
    <t xml:space="preserve">Bỏ trống giá bán </t>
  </si>
  <si>
    <t>1. Tên giá bán: Bỏ trống          2. Nhập các trường còn lại hợp lệ                                    3. Kích "Tạo mới"</t>
  </si>
  <si>
    <t>Bỏ trống mô tả</t>
  </si>
  <si>
    <t>1. Tên mô tả: Bỏ trống          2. Nhập các trường còn lại hợp lệ                                    3. Kích "Tạo mới"</t>
  </si>
  <si>
    <t>Bỏ trống hình minh họa</t>
  </si>
  <si>
    <t>1. Hệ thống hiển thị thông báo "Vui lòng nhập giá bán!"</t>
  </si>
  <si>
    <t>1. Hệ thống hiển thị thông báo "Thêm mới Laptop thành công"</t>
  </si>
  <si>
    <t>Bỏ trống mã hàng</t>
  </si>
  <si>
    <t>Bỏ trống mã nhu cầu</t>
  </si>
  <si>
    <t>1. Tên minh họa: Bỏ trống          2. Nhập các trường còn lại hợp lệ                                    3. Kích "Tạo mới"</t>
  </si>
  <si>
    <t>1. Tên mã hàng: Bỏ trống          2. Nhập các trường còn lại hợp lệ                                    3. Kích "Tạo mới"</t>
  </si>
  <si>
    <t>1. Tên mã nhu cầu: Bỏ trống          2. Nhập các trường còn lại hợp lệ                                    3. Kích "Tạo mới"</t>
  </si>
  <si>
    <t>Bỏ trống CPU</t>
  </si>
  <si>
    <t>1. Tên CPU: Bỏ trống           2. Nhập các trường còn lại hợp lệ                                    3. Kích "Tạo mới"</t>
  </si>
  <si>
    <t>Bỏ trống GPU</t>
  </si>
  <si>
    <t>1. Tên GPU: Bỏ trống           2. Nhập các trường còn lại hợp lệ                                    3. Kích "Tạo mới"</t>
  </si>
  <si>
    <t xml:space="preserve">Bỏ trống trạng thái </t>
  </si>
  <si>
    <t>1. Tên trạng thái : Bỏ trống          2. Nhập các trường còn lại hợp lệ                                    3. Kích "Tạo mới"</t>
  </si>
  <si>
    <t>Bỏ trống số lượng tồn</t>
  </si>
  <si>
    <t>1. Số lượng tồn: Bỏ trống          2. Nhập các trường còn lại hợp lệ                                    3. Kích "Tạo mới"</t>
  </si>
  <si>
    <t>Sửa</t>
  </si>
  <si>
    <t>1. Hệ thống hiển thị thông báo "Cập nhật Laptop thành công"</t>
  </si>
  <si>
    <t xml:space="preserve">Nhập lại giá bán </t>
  </si>
  <si>
    <t>1. Nhập lại họ tên                    2. Kích button "Cập nhật"</t>
  </si>
  <si>
    <t xml:space="preserve">1. Nhập lại giá bán                 2. Kích button "Cập nhật"
</t>
  </si>
  <si>
    <t xml:space="preserve">1. Xóa họ tên
2. Kích button "Cập nhật"
</t>
  </si>
  <si>
    <t>Nhập lại  tên</t>
  </si>
  <si>
    <t>Xóa tên</t>
  </si>
  <si>
    <t xml:space="preserve">Xóa giá bán </t>
  </si>
  <si>
    <t xml:space="preserve">1. Xóa giá bán
2. Kích button "Cập nhật"
</t>
  </si>
  <si>
    <t>Xóa</t>
  </si>
  <si>
    <t>1 Kích button "Xóa"</t>
  </si>
  <si>
    <t>1. Hiển thị màn hình xác nhận xóa</t>
  </si>
  <si>
    <t>Button quay lại</t>
  </si>
  <si>
    <t>1. Quay lại màn hình danh sách sản phẩm</t>
  </si>
  <si>
    <t>Button Xóa bỏ</t>
  </si>
  <si>
    <t>1.Hiển thị thông báo "Xóa sản phẩm thành công"</t>
  </si>
  <si>
    <t xml:space="preserve">Upload ảnh </t>
  </si>
  <si>
    <t>Uopload file .png</t>
  </si>
  <si>
    <t xml:space="preserve">1. Upload ảnh .png </t>
  </si>
  <si>
    <t>1. Thêm ảnh thành công</t>
  </si>
  <si>
    <t>Upload file .docx</t>
  </si>
  <si>
    <t>1. Upload file .docx</t>
  </si>
  <si>
    <t>1. Không thêm được ảnh</t>
  </si>
  <si>
    <t>Upload file .exe</t>
  </si>
  <si>
    <t>1. Upload file .exe</t>
  </si>
  <si>
    <t xml:space="preserve">Upload 2 file </t>
  </si>
  <si>
    <t xml:space="preserve">1. Upload 2 file           </t>
  </si>
  <si>
    <t>Upload nhiều ảnh</t>
  </si>
  <si>
    <t xml:space="preserve">1. Upload nhiều file           </t>
  </si>
  <si>
    <t>QLSP_01</t>
  </si>
  <si>
    <t>QLSP_02</t>
  </si>
  <si>
    <t>QLSP_03</t>
  </si>
  <si>
    <t>QLSP_04</t>
  </si>
  <si>
    <t>QLSP_05</t>
  </si>
  <si>
    <t>QLSP_06</t>
  </si>
  <si>
    <t>QLSP_07</t>
  </si>
  <si>
    <t>QLSP_08</t>
  </si>
  <si>
    <t>QLSP_09</t>
  </si>
  <si>
    <t>QLSP_10</t>
  </si>
  <si>
    <t>QLSP_11</t>
  </si>
  <si>
    <t>QLSP_12</t>
  </si>
  <si>
    <t>QLSP_13</t>
  </si>
  <si>
    <t>QLSP_14</t>
  </si>
  <si>
    <t>QLSP_15</t>
  </si>
  <si>
    <t>QLSP_16</t>
  </si>
  <si>
    <t>QLSP_17</t>
  </si>
  <si>
    <t>QLSP_18</t>
  </si>
  <si>
    <t>QLSP_19</t>
  </si>
  <si>
    <t>QLSP_20</t>
  </si>
  <si>
    <t>QLSP_21</t>
  </si>
  <si>
    <t>QLSP_22</t>
  </si>
  <si>
    <t>QLSP_23</t>
  </si>
  <si>
    <t>QLSP_24</t>
  </si>
  <si>
    <t>QLSP_25</t>
  </si>
  <si>
    <t>QLSP_26</t>
  </si>
  <si>
    <t>QLSP_27</t>
  </si>
  <si>
    <t>Quản lý hãng</t>
  </si>
  <si>
    <t>Kiểm tra cách thức user truy cập vào màn quản lý hãng đã đăng nhập</t>
  </si>
  <si>
    <t xml:space="preserve">1. Kích Hãng       </t>
  </si>
  <si>
    <t xml:space="preserve">1. Hiển thị màn hình hãng sản phẩm </t>
  </si>
  <si>
    <t>Tên hãng</t>
  </si>
  <si>
    <t>Bỏ trống tên hãng</t>
  </si>
  <si>
    <t>1. Tên hãng: Bỏ trống          2. Nhập các trường còn lại hợp lệ                                    3. Kích "Tạo mới"</t>
  </si>
  <si>
    <t>1. Hệ thống hiển thị thông báo "The tenhang field is required."</t>
  </si>
  <si>
    <t>Nhập tên hãng số</t>
  </si>
  <si>
    <t>1. Tên hãng: Dell123           2. Nhập các trường còn lại hợp lệ                                    3. Kích "Tạo mới"</t>
  </si>
  <si>
    <t>1. Hệ thống hiển thị thông báo "Thêm mới hãng thành công"</t>
  </si>
  <si>
    <t>Bỏ trống hình ảnh</t>
  </si>
  <si>
    <t>1.Hình ảnh  : Bỏ trống          2. Nhập các trường còn lại hợp lệ                                    3. Kích "Tạo mới"</t>
  </si>
  <si>
    <t>Nhập hãng có kí tự đặc biệt</t>
  </si>
  <si>
    <t>1. Tên hãng: Dell123@           2. Nhập các trường còn lại hợp lệ                                    3. Kích "Tạo mới"</t>
  </si>
  <si>
    <t>Xóa tên hãng</t>
  </si>
  <si>
    <t xml:space="preserve">Xóa hình ảnh </t>
  </si>
  <si>
    <t>1. Tên hãng: Bỏ trống          2. Nhập các trường còn lại hợp lệ                                    3. Kích "Cập nhật"</t>
  </si>
  <si>
    <t>1.Hình ảnh  : Bỏ trống          2. Nhập các trường còn lại hợp lệ                                    3. Kích "Cập nhật"</t>
  </si>
  <si>
    <t>Nhập lại tên</t>
  </si>
  <si>
    <t>tên hãng: dell</t>
  </si>
  <si>
    <t>1. Tên hãng: dell01              2. Nhập các trường còn lại hợp lệ                                    3. Kích "Cập nhật"</t>
  </si>
  <si>
    <t>Xóa hãng</t>
  </si>
  <si>
    <t>1. Quay lại màn hình danh sách  hãng</t>
  </si>
  <si>
    <t>1.Hiển thị thông báo "Xóa hãng thành công"</t>
  </si>
  <si>
    <t>QLH_01</t>
  </si>
  <si>
    <t>QLH_02</t>
  </si>
  <si>
    <t>QLH_03</t>
  </si>
  <si>
    <t>QLH_04</t>
  </si>
  <si>
    <t>QLH_05</t>
  </si>
  <si>
    <t>QLH_06</t>
  </si>
  <si>
    <t>QLH_07</t>
  </si>
  <si>
    <t>QLH_08</t>
  </si>
  <si>
    <t>QLH_09</t>
  </si>
  <si>
    <t>QLH_10</t>
  </si>
  <si>
    <t>QLH_11</t>
  </si>
  <si>
    <t>QLH_12</t>
  </si>
  <si>
    <t>QLH_13</t>
  </si>
  <si>
    <t>QLH_14</t>
  </si>
  <si>
    <t>QLH_15</t>
  </si>
  <si>
    <t>QLH_16</t>
  </si>
  <si>
    <t>QLH_17</t>
  </si>
  <si>
    <t>QLH_18</t>
  </si>
  <si>
    <t>QLH_19</t>
  </si>
  <si>
    <t>QLH_20</t>
  </si>
  <si>
    <t>Kiểm tra cách thức user truy cập vào màn quản lý tài khoản đã đăng nhập</t>
  </si>
  <si>
    <t>1. Hiển thị màn hình tài khoản</t>
  </si>
  <si>
    <t>1. Email : Bỏ trống               2. Nhập các trường còn lại hợp lệ                                    3. Kích "Cập nhật"</t>
  </si>
  <si>
    <t>1. Hệ thống hiển thị thông báo Vui lòng nhập email"</t>
  </si>
  <si>
    <t>Sửa phoner number là chữ</t>
  </si>
  <si>
    <t>1. Phone number : hahd        2. Nhập các trường còn lại hợp lệ                                    3. Kích "Cập nhật"</t>
  </si>
  <si>
    <t>1. Hệ thống hiển thị thông báo "Vui lòng nhập số điện thoại"</t>
  </si>
  <si>
    <t>Sửa hình ảnh</t>
  </si>
  <si>
    <t>1. Đổi hình ảnh                    2. Nhập các trường còn lại hợp lệ                                    3. Kích "Cập nhật"</t>
  </si>
  <si>
    <t>Xóa tài khoản</t>
  </si>
  <si>
    <t>1. Quay lại màn hình danh sách tài khoản</t>
  </si>
  <si>
    <t>QLTK_01</t>
  </si>
  <si>
    <t>QLTK_02</t>
  </si>
  <si>
    <t>QLTK_03</t>
  </si>
  <si>
    <t>QLTK_04</t>
  </si>
  <si>
    <t>QLTK_05</t>
  </si>
  <si>
    <t>QLTK_06</t>
  </si>
  <si>
    <t>QLTK_07</t>
  </si>
  <si>
    <t>QLTK_08</t>
  </si>
  <si>
    <t>QLTK_12</t>
  </si>
  <si>
    <t>QLTK_13</t>
  </si>
  <si>
    <t>QLTK_14</t>
  </si>
  <si>
    <t>QLTK_15</t>
  </si>
  <si>
    <t>QLTK_16</t>
  </si>
  <si>
    <t>Sửa trạng thái đơn hàng</t>
  </si>
  <si>
    <t>Kiểm tra cách thức user truy cập vào màn quản lý đơn hàng đã đăng nhập</t>
  </si>
  <si>
    <t xml:space="preserve">1. Kích Tài khoản       </t>
  </si>
  <si>
    <t xml:space="preserve">1. Kích Đơn hàng       </t>
  </si>
  <si>
    <t>Thanh toán</t>
  </si>
  <si>
    <t>1. Sửa trạng thái thanh toán</t>
  </si>
  <si>
    <t>1. Hệ thống hiển thị đúng trạng thái thanh toán</t>
  </si>
  <si>
    <t>Giao hàng</t>
  </si>
  <si>
    <t>1. Sửa trạng thái giao hàng</t>
  </si>
  <si>
    <t>1. Hệ thống hiển thị đúng trạng thái giao hàng</t>
  </si>
  <si>
    <t>Tình trạng</t>
  </si>
  <si>
    <t>1. Sửa trạng thái tình trạng</t>
  </si>
  <si>
    <t>1. Hệ thống hiển thị đúng trạng thái tình trạng</t>
  </si>
  <si>
    <t>Quản lý tài khoản</t>
  </si>
  <si>
    <t>Quản lý đơn hàng</t>
  </si>
  <si>
    <t>QLDH_01</t>
  </si>
  <si>
    <t>QLDH_02</t>
  </si>
  <si>
    <t>QLDH_03</t>
  </si>
  <si>
    <t>QLDH_04</t>
  </si>
  <si>
    <t>QLDH_05</t>
  </si>
  <si>
    <t>QLDH_06</t>
  </si>
  <si>
    <t>QLDH_07</t>
  </si>
  <si>
    <t>QLDH_08</t>
  </si>
  <si>
    <t>QLDH_09</t>
  </si>
  <si>
    <t>QLDH_10</t>
  </si>
  <si>
    <t>QLDH_11</t>
  </si>
  <si>
    <t>1. Hiển thị thông báo "Mật khẩu không được để trống!", "Mật khẩu xác thực không khớp!"</t>
  </si>
  <si>
    <t xml:space="preserve">1. Hiển thị thông báo "Đăng nhập Admin thành công!"                             2. Hiển thị màn hình quản trị                    </t>
  </si>
  <si>
    <t>Xem danh mục sản phẩm</t>
  </si>
  <si>
    <t>Kiểm tra cách thức user truy cập vào màn hình xem hãng theo danh mục đã đăng nhập</t>
  </si>
  <si>
    <t>Kiểm tra cách thức user truy cập vào màn hình xem hãng theo danh mục khi chưa đăng nhập</t>
  </si>
  <si>
    <t>1. Vào hãng
2. Kích vào 1 hãng</t>
  </si>
  <si>
    <t>1. Hiển thị màn hình sản phẩm theo danh mục</t>
  </si>
  <si>
    <t>XHTDM_01</t>
  </si>
  <si>
    <t>XHTDM_02</t>
  </si>
  <si>
    <t>XHTDM_03</t>
  </si>
  <si>
    <t>XHTDM_04</t>
  </si>
  <si>
    <t>XHTDM_05</t>
  </si>
  <si>
    <t>XHTDM_06</t>
  </si>
  <si>
    <t>XHTDM_07</t>
  </si>
  <si>
    <t>XHTDM_08</t>
  </si>
  <si>
    <t>XHTDM_09</t>
  </si>
  <si>
    <t>XHTDM_10</t>
  </si>
  <si>
    <t>XHTDM_11</t>
  </si>
  <si>
    <t xml:space="preserve">1. Upload ảnh .png, .jpg </t>
  </si>
  <si>
    <t>1.Hiển thị thông báo "Xóa đơn hàng thành công"</t>
  </si>
  <si>
    <t>BUG_001</t>
  </si>
  <si>
    <t>Lỗi không hiển thị thông báo "Số lượng không hợp lệ"</t>
  </si>
  <si>
    <t>Khi nhập số lượng âm, hệ thống không hiển thị thông báo lỗi và vẫn hiện thị giá tiền âm</t>
  </si>
  <si>
    <t>1. Nhập số lượng: -1</t>
  </si>
  <si>
    <t>Hiển thị thông báo "Số lượng không hợp lệ "</t>
  </si>
  <si>
    <t>BUG_002</t>
  </si>
  <si>
    <t>Lỗi không hiển thị thông báo "Bạn có muốn xóa sản phẩm này hay không"</t>
  </si>
  <si>
    <t>Khi nhập số 0, hệ thống không hiển thị thông báo lỗi</t>
  </si>
  <si>
    <t>1. Nhập số lượng: 0</t>
  </si>
  <si>
    <t>Hiển thị thông báo "Bạn có muốn xóa sản phẩm này hay không"</t>
  </si>
  <si>
    <t>BUG_003</t>
  </si>
  <si>
    <t>Lỗi không hiển thị thông báo "Số lượng vượt quá cho phép"</t>
  </si>
  <si>
    <t>Khi nhập số lượng 25 nhưng chỉ còn 20 sản phẩm</t>
  </si>
  <si>
    <t>1. Nhập số lượng: 25</t>
  </si>
  <si>
    <t>Hiển thị thông báo "Số lượng vượt quá cho phép"</t>
  </si>
  <si>
    <t>BUG_004</t>
  </si>
  <si>
    <t>Lỗi không hiển thị thông báo "Xóa sản phẩm thành công"</t>
  </si>
  <si>
    <t>Khi nhấn xóa bỏ nhưng không hiển thị thông báo lỗi</t>
  </si>
  <si>
    <t>Hiển thị thông báo "Xóa sản phẩm thành công"</t>
  </si>
  <si>
    <t>BUG_005</t>
  </si>
  <si>
    <t>Lỗi không thêm được ảnh .png, .jpg</t>
  </si>
  <si>
    <t xml:space="preserve">Thêm ảnh </t>
  </si>
  <si>
    <t xml:space="preserve">1. Thêm ảnh </t>
  </si>
  <si>
    <t>Thêm ảnh thành công</t>
  </si>
  <si>
    <t xml:space="preserve">Không thêm ảnh được </t>
  </si>
  <si>
    <t>BUG_006</t>
  </si>
  <si>
    <t>BUG_007</t>
  </si>
  <si>
    <t xml:space="preserve">Lỗi viết chữ vào phone number vẫn update được </t>
  </si>
  <si>
    <t>Khi nhập kí tự chữ vào phone number, hệ thống vẫn update được</t>
  </si>
  <si>
    <t>1. Nhập chữ vào phone number</t>
  </si>
  <si>
    <t>Hệ thống hiển thị thông báo "Vui lòng nhập số điện thoại"</t>
  </si>
  <si>
    <t>Vẫn update được</t>
  </si>
  <si>
    <t>BUG_008</t>
  </si>
  <si>
    <t>BUG_010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</si>
</sst>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0"/>
      <color rgb="FFFFFFFF"/>
      <name val="Tahoma"/>
    </font>
    <font>
      <sz val="10"/>
      <color theme="1"/>
      <name val="Tahoma"/>
    </font>
    <font>
      <sz val="11"/>
      <color rgb="FF000000"/>
      <name val="Calibri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0"/>
      <color rgb="FF000000"/>
      <name val="Arial"/>
      <family val="2"/>
      <charset val="163"/>
    </font>
    <font>
      <b/>
      <sz val="10"/>
      <color theme="1"/>
      <name val="Tahoma"/>
    </font>
    <font>
      <i/>
      <sz val="10"/>
      <color rgb="FF006411"/>
      <name val="Tahoma"/>
    </font>
    <font>
      <b/>
      <sz val="10"/>
      <color rgb="FF000000"/>
      <name val="Tahoma"/>
    </font>
    <font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000090"/>
        <bgColor rgb="FF00009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FF0000"/>
        <bgColor rgb="FFFFFFFF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1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 vertical="top" wrapText="1"/>
    </xf>
    <xf numFmtId="0" fontId="6" fillId="3" borderId="10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vertical="top" wrapText="1"/>
    </xf>
    <xf numFmtId="0" fontId="0" fillId="0" borderId="12" xfId="0" applyBorder="1"/>
    <xf numFmtId="0" fontId="6" fillId="3" borderId="13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6" fillId="3" borderId="14" xfId="0" applyFont="1" applyFill="1" applyBorder="1" applyAlignment="1">
      <alignment vertical="top" wrapText="1"/>
    </xf>
    <xf numFmtId="0" fontId="8" fillId="3" borderId="8" xfId="0" applyFont="1" applyFill="1" applyBorder="1" applyAlignment="1">
      <alignment horizontal="left" vertical="top" wrapText="1"/>
    </xf>
    <xf numFmtId="0" fontId="0" fillId="0" borderId="2" xfId="0" applyBorder="1"/>
    <xf numFmtId="0" fontId="9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vertical="top" wrapText="1"/>
    </xf>
    <xf numFmtId="0" fontId="6" fillId="3" borderId="5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vertical="top" wrapText="1"/>
    </xf>
    <xf numFmtId="0" fontId="9" fillId="3" borderId="12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top" wrapText="1"/>
    </xf>
    <xf numFmtId="0" fontId="8" fillId="4" borderId="12" xfId="0" applyFont="1" applyFill="1" applyBorder="1" applyAlignment="1">
      <alignment vertical="top" wrapText="1"/>
    </xf>
    <xf numFmtId="0" fontId="6" fillId="3" borderId="17" xfId="0" applyFont="1" applyFill="1" applyBorder="1" applyAlignment="1">
      <alignment vertical="top" wrapText="1"/>
    </xf>
    <xf numFmtId="0" fontId="9" fillId="3" borderId="18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top" wrapText="1"/>
    </xf>
    <xf numFmtId="0" fontId="12" fillId="3" borderId="20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vertical="center" wrapText="1"/>
    </xf>
    <xf numFmtId="0" fontId="13" fillId="3" borderId="14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vertical="center" wrapText="1"/>
    </xf>
    <xf numFmtId="0" fontId="13" fillId="3" borderId="22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horizontal="left" wrapText="1"/>
    </xf>
    <xf numFmtId="0" fontId="13" fillId="3" borderId="11" xfId="0" applyFont="1" applyFill="1" applyBorder="1" applyAlignment="1">
      <alignment wrapText="1"/>
    </xf>
    <xf numFmtId="0" fontId="13" fillId="3" borderId="15" xfId="0" applyFont="1" applyFill="1" applyBorder="1" applyAlignment="1">
      <alignment wrapText="1"/>
    </xf>
    <xf numFmtId="0" fontId="13" fillId="3" borderId="23" xfId="0" applyFont="1" applyFill="1" applyBorder="1" applyAlignment="1">
      <alignment wrapText="1"/>
    </xf>
    <xf numFmtId="0" fontId="14" fillId="3" borderId="2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9" fillId="3" borderId="16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9" fillId="3" borderId="31" xfId="0" applyFont="1" applyFill="1" applyBorder="1" applyAlignment="1">
      <alignment vertical="top" wrapText="1"/>
    </xf>
    <xf numFmtId="0" fontId="0" fillId="0" borderId="6" xfId="0" applyBorder="1"/>
    <xf numFmtId="0" fontId="6" fillId="5" borderId="7" xfId="0" applyFont="1" applyFill="1" applyBorder="1" applyAlignment="1">
      <alignment vertical="top" wrapText="1"/>
    </xf>
    <xf numFmtId="0" fontId="9" fillId="3" borderId="4" xfId="0" applyFont="1" applyFill="1" applyBorder="1" applyAlignment="1">
      <alignment horizontal="center" vertical="top" wrapText="1"/>
    </xf>
    <xf numFmtId="0" fontId="9" fillId="3" borderId="11" xfId="0" applyFont="1" applyFill="1" applyBorder="1" applyAlignment="1">
      <alignment vertical="top" wrapText="1"/>
    </xf>
    <xf numFmtId="0" fontId="9" fillId="3" borderId="35" xfId="0" applyFont="1" applyFill="1" applyBorder="1" applyAlignment="1">
      <alignment vertical="top" wrapText="1"/>
    </xf>
    <xf numFmtId="0" fontId="9" fillId="3" borderId="17" xfId="0" applyFont="1" applyFill="1" applyBorder="1" applyAlignment="1">
      <alignment vertical="top" wrapText="1"/>
    </xf>
    <xf numFmtId="0" fontId="9" fillId="3" borderId="36" xfId="0" applyFont="1" applyFill="1" applyBorder="1" applyAlignment="1">
      <alignment vertical="top" wrapText="1"/>
    </xf>
    <xf numFmtId="0" fontId="9" fillId="5" borderId="7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9" fillId="6" borderId="7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 wrapText="1"/>
    </xf>
    <xf numFmtId="0" fontId="9" fillId="3" borderId="16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19" xfId="0" applyFont="1" applyFill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top"/>
    </xf>
    <xf numFmtId="0" fontId="6" fillId="3" borderId="32" xfId="0" applyFont="1" applyFill="1" applyBorder="1" applyAlignment="1">
      <alignment horizontal="center" vertical="top" wrapText="1"/>
    </xf>
    <xf numFmtId="0" fontId="6" fillId="3" borderId="33" xfId="0" applyFont="1" applyFill="1" applyBorder="1" applyAlignment="1">
      <alignment horizontal="center" vertical="top" wrapText="1"/>
    </xf>
    <xf numFmtId="0" fontId="6" fillId="3" borderId="3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3" sqref="D3"/>
    </sheetView>
  </sheetViews>
  <sheetFormatPr defaultRowHeight="14.4" x14ac:dyDescent="0.3"/>
  <cols>
    <col min="1" max="1" width="3.21875" bestFit="1" customWidth="1"/>
    <col min="2" max="2" width="15.44140625" bestFit="1" customWidth="1"/>
    <col min="3" max="3" width="14.109375" bestFit="1" customWidth="1"/>
    <col min="4" max="4" width="45.88671875" bestFit="1" customWidth="1"/>
    <col min="5" max="5" width="11" bestFit="1" customWidth="1"/>
    <col min="6" max="6" width="21.109375" bestFit="1" customWidth="1"/>
    <col min="7" max="7" width="15.44140625" customWidth="1"/>
    <col min="8" max="8" width="26.33203125" bestFit="1" customWidth="1"/>
  </cols>
  <sheetData>
    <row r="1" spans="1:8" x14ac:dyDescent="0.3">
      <c r="A1" s="3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1</v>
      </c>
      <c r="B2" s="81" t="s">
        <v>7</v>
      </c>
      <c r="C2" s="2" t="s">
        <v>59</v>
      </c>
      <c r="D2" s="2" t="s">
        <v>8</v>
      </c>
      <c r="E2" s="2" t="s">
        <v>10</v>
      </c>
      <c r="F2" s="2" t="s">
        <v>12</v>
      </c>
      <c r="G2" s="2" t="s">
        <v>57</v>
      </c>
      <c r="H2" s="2" t="s">
        <v>14</v>
      </c>
    </row>
    <row r="3" spans="1:8" x14ac:dyDescent="0.3">
      <c r="A3" s="2">
        <v>2</v>
      </c>
      <c r="B3" s="81"/>
      <c r="C3" s="2" t="s">
        <v>60</v>
      </c>
      <c r="D3" s="2" t="s">
        <v>9</v>
      </c>
      <c r="E3" s="2" t="s">
        <v>11</v>
      </c>
      <c r="F3" s="2" t="s">
        <v>13</v>
      </c>
      <c r="G3" s="2" t="s">
        <v>57</v>
      </c>
      <c r="H3" s="2" t="s">
        <v>14</v>
      </c>
    </row>
    <row r="4" spans="1:8" x14ac:dyDescent="0.3">
      <c r="A4" s="2"/>
      <c r="B4" s="2" t="s">
        <v>96</v>
      </c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</sheetData>
  <mergeCells count="1"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B4" workbookViewId="0">
      <selection activeCell="C10" sqref="C10:E14"/>
    </sheetView>
  </sheetViews>
  <sheetFormatPr defaultRowHeight="14.4" x14ac:dyDescent="0.3"/>
  <cols>
    <col min="1" max="1" width="11" bestFit="1" customWidth="1"/>
    <col min="2" max="2" width="21.109375" bestFit="1" customWidth="1"/>
    <col min="3" max="3" width="17.109375" bestFit="1" customWidth="1"/>
    <col min="4" max="4" width="51.44140625" customWidth="1"/>
    <col min="5" max="5" width="39.109375" bestFit="1" customWidth="1"/>
    <col min="6" max="6" width="14.44140625" bestFit="1" customWidth="1"/>
    <col min="8" max="8" width="6.109375" bestFit="1" customWidth="1"/>
  </cols>
  <sheetData>
    <row r="1" spans="1:8" x14ac:dyDescent="0.3">
      <c r="A1" s="1" t="s">
        <v>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5</v>
      </c>
      <c r="G1" s="1" t="s">
        <v>19</v>
      </c>
      <c r="H1" s="1" t="s">
        <v>20</v>
      </c>
    </row>
    <row r="2" spans="1:8" ht="43.2" x14ac:dyDescent="0.3">
      <c r="A2" s="2" t="s">
        <v>10</v>
      </c>
      <c r="B2" s="2" t="s">
        <v>12</v>
      </c>
      <c r="C2" s="2" t="s">
        <v>21</v>
      </c>
      <c r="D2" s="4" t="s">
        <v>62</v>
      </c>
      <c r="E2" s="2" t="s">
        <v>22</v>
      </c>
      <c r="F2" s="2" t="s">
        <v>63</v>
      </c>
      <c r="G2" s="2" t="s">
        <v>24</v>
      </c>
      <c r="H2" s="2" t="s">
        <v>26</v>
      </c>
    </row>
    <row r="3" spans="1:8" ht="43.2" x14ac:dyDescent="0.3">
      <c r="A3" s="2" t="s">
        <v>11</v>
      </c>
      <c r="B3" s="2" t="s">
        <v>13</v>
      </c>
      <c r="C3" s="2" t="s">
        <v>21</v>
      </c>
      <c r="D3" s="4" t="s">
        <v>61</v>
      </c>
      <c r="E3" s="2" t="s">
        <v>23</v>
      </c>
      <c r="F3" s="2" t="s">
        <v>57</v>
      </c>
      <c r="G3" s="2" t="s">
        <v>25</v>
      </c>
      <c r="H3" s="2" t="s">
        <v>26</v>
      </c>
    </row>
    <row r="4" spans="1:8" x14ac:dyDescent="0.3">
      <c r="A4" s="2"/>
      <c r="B4" s="2" t="s">
        <v>96</v>
      </c>
      <c r="C4" s="2"/>
      <c r="D4" s="4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10" spans="1:8" x14ac:dyDescent="0.3">
      <c r="C10" s="5" t="s">
        <v>78</v>
      </c>
      <c r="D10" s="5" t="s">
        <v>64</v>
      </c>
      <c r="E10" s="5" t="s">
        <v>65</v>
      </c>
    </row>
    <row r="11" spans="1:8" ht="31.95" customHeight="1" x14ac:dyDescent="0.3">
      <c r="C11" s="6" t="s">
        <v>66</v>
      </c>
      <c r="D11" s="7" t="s">
        <v>67</v>
      </c>
      <c r="E11" s="7" t="s">
        <v>68</v>
      </c>
    </row>
    <row r="12" spans="1:8" ht="28.8" x14ac:dyDescent="0.3">
      <c r="C12" s="6" t="s">
        <v>69</v>
      </c>
      <c r="D12" s="7" t="s">
        <v>70</v>
      </c>
      <c r="E12" s="7" t="s">
        <v>71</v>
      </c>
    </row>
    <row r="13" spans="1:8" ht="28.8" x14ac:dyDescent="0.3">
      <c r="C13" s="6" t="s">
        <v>72</v>
      </c>
      <c r="D13" s="7" t="s">
        <v>73</v>
      </c>
      <c r="E13" s="7" t="s">
        <v>74</v>
      </c>
    </row>
    <row r="14" spans="1:8" x14ac:dyDescent="0.3">
      <c r="C14" s="6" t="s">
        <v>75</v>
      </c>
      <c r="D14" s="7" t="s">
        <v>76</v>
      </c>
      <c r="E14" s="7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topLeftCell="A22" workbookViewId="0">
      <selection activeCell="D23" sqref="D23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453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COUNTIF(H7:I983,"Pass")</f>
        <v>18</v>
      </c>
      <c r="B4" s="60">
        <f>COUNTIF(H7:I983,"Fail")</f>
        <v>0</v>
      </c>
      <c r="C4" s="60">
        <f>E4-D4-A4-B4</f>
        <v>0</v>
      </c>
      <c r="D4" s="61">
        <f>COUNTIF(H$8:I$984,"N/A")</f>
        <v>0</v>
      </c>
      <c r="E4" s="62">
        <f>COUNTA(A8:A987)</f>
        <v>18</v>
      </c>
    </row>
    <row r="7" spans="1:10" x14ac:dyDescent="0.3">
      <c r="A7" s="12" t="s">
        <v>123</v>
      </c>
      <c r="B7" s="12" t="s">
        <v>124</v>
      </c>
      <c r="C7" s="12" t="s">
        <v>125</v>
      </c>
      <c r="D7" s="12" t="s">
        <v>126</v>
      </c>
      <c r="E7" s="12" t="s">
        <v>127</v>
      </c>
      <c r="F7" s="12" t="s">
        <v>128</v>
      </c>
      <c r="G7" s="12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14" t="s">
        <v>136</v>
      </c>
      <c r="B8" s="14" t="s">
        <v>130</v>
      </c>
      <c r="C8" s="14"/>
      <c r="D8" s="24" t="s">
        <v>240</v>
      </c>
      <c r="E8" s="14"/>
      <c r="F8" s="18" t="s">
        <v>144</v>
      </c>
      <c r="G8" s="20" t="s">
        <v>145</v>
      </c>
      <c r="H8" s="70" t="s">
        <v>29</v>
      </c>
      <c r="I8" s="2" t="s">
        <v>206</v>
      </c>
      <c r="J8" s="2" t="s">
        <v>26</v>
      </c>
    </row>
    <row r="9" spans="1:10" ht="26.4" x14ac:dyDescent="0.3">
      <c r="A9" s="14" t="s">
        <v>137</v>
      </c>
      <c r="B9" s="82" t="s">
        <v>131</v>
      </c>
      <c r="C9" s="16"/>
      <c r="D9" s="19" t="s">
        <v>146</v>
      </c>
      <c r="E9" s="21"/>
      <c r="F9" s="19" t="s">
        <v>150</v>
      </c>
      <c r="G9" s="20" t="s">
        <v>151</v>
      </c>
      <c r="H9" s="70" t="s">
        <v>29</v>
      </c>
      <c r="I9" s="2" t="s">
        <v>25</v>
      </c>
      <c r="J9" s="2" t="s">
        <v>26</v>
      </c>
    </row>
    <row r="10" spans="1:10" ht="26.4" x14ac:dyDescent="0.3">
      <c r="A10" s="14" t="s">
        <v>138</v>
      </c>
      <c r="B10" s="83"/>
      <c r="C10" s="16"/>
      <c r="D10" s="19" t="s">
        <v>147</v>
      </c>
      <c r="E10" s="17"/>
      <c r="F10" s="22" t="s">
        <v>152</v>
      </c>
      <c r="G10" s="20" t="s">
        <v>151</v>
      </c>
      <c r="H10" s="70" t="s">
        <v>29</v>
      </c>
      <c r="I10" s="2" t="s">
        <v>25</v>
      </c>
      <c r="J10" s="2" t="s">
        <v>26</v>
      </c>
    </row>
    <row r="11" spans="1:10" ht="26.4" x14ac:dyDescent="0.3">
      <c r="A11" s="14" t="s">
        <v>139</v>
      </c>
      <c r="B11" s="83"/>
      <c r="C11" s="16"/>
      <c r="D11" s="19" t="s">
        <v>148</v>
      </c>
      <c r="E11" s="17"/>
      <c r="F11" s="23" t="s">
        <v>153</v>
      </c>
      <c r="G11" s="23" t="s">
        <v>155</v>
      </c>
      <c r="H11" s="70" t="s">
        <v>29</v>
      </c>
      <c r="I11" s="2" t="s">
        <v>25</v>
      </c>
      <c r="J11" s="2" t="s">
        <v>26</v>
      </c>
    </row>
    <row r="12" spans="1:10" ht="26.4" x14ac:dyDescent="0.3">
      <c r="A12" s="14" t="s">
        <v>140</v>
      </c>
      <c r="B12" s="84"/>
      <c r="C12" s="16"/>
      <c r="D12" s="19" t="s">
        <v>149</v>
      </c>
      <c r="E12" s="17"/>
      <c r="F12" s="23" t="s">
        <v>154</v>
      </c>
      <c r="G12" s="23" t="s">
        <v>156</v>
      </c>
      <c r="H12" s="70" t="s">
        <v>29</v>
      </c>
      <c r="I12" s="2" t="s">
        <v>25</v>
      </c>
      <c r="J12" s="2" t="s">
        <v>26</v>
      </c>
    </row>
    <row r="13" spans="1:10" ht="66" x14ac:dyDescent="0.3">
      <c r="A13" s="14" t="s">
        <v>141</v>
      </c>
      <c r="B13" s="82" t="s">
        <v>132</v>
      </c>
      <c r="C13" s="82" t="s">
        <v>133</v>
      </c>
      <c r="D13" s="22" t="s">
        <v>134</v>
      </c>
      <c r="E13" s="14"/>
      <c r="F13" s="23" t="s">
        <v>159</v>
      </c>
      <c r="G13" s="23" t="s">
        <v>158</v>
      </c>
      <c r="H13" s="70" t="s">
        <v>29</v>
      </c>
      <c r="I13" s="2" t="s">
        <v>24</v>
      </c>
      <c r="J13" s="2" t="s">
        <v>26</v>
      </c>
    </row>
    <row r="14" spans="1:10" ht="66" x14ac:dyDescent="0.3">
      <c r="A14" s="14" t="s">
        <v>142</v>
      </c>
      <c r="B14" s="83"/>
      <c r="C14" s="83"/>
      <c r="D14" s="23" t="s">
        <v>157</v>
      </c>
      <c r="E14" s="14"/>
      <c r="F14" s="23" t="s">
        <v>160</v>
      </c>
      <c r="G14" s="23" t="s">
        <v>214</v>
      </c>
      <c r="H14" s="70" t="s">
        <v>29</v>
      </c>
      <c r="I14" s="2" t="s">
        <v>24</v>
      </c>
      <c r="J14" s="2" t="s">
        <v>26</v>
      </c>
    </row>
    <row r="15" spans="1:10" ht="79.2" x14ac:dyDescent="0.3">
      <c r="A15" s="14" t="s">
        <v>143</v>
      </c>
      <c r="B15" s="83"/>
      <c r="C15" s="84"/>
      <c r="D15" s="23" t="s">
        <v>161</v>
      </c>
      <c r="E15" s="14"/>
      <c r="F15" s="23" t="s">
        <v>162</v>
      </c>
      <c r="G15" s="23" t="s">
        <v>214</v>
      </c>
      <c r="H15" s="70" t="s">
        <v>29</v>
      </c>
      <c r="I15" s="2" t="s">
        <v>24</v>
      </c>
      <c r="J15" s="2" t="s">
        <v>26</v>
      </c>
    </row>
    <row r="16" spans="1:10" ht="66" x14ac:dyDescent="0.3">
      <c r="A16" s="14" t="s">
        <v>196</v>
      </c>
      <c r="B16" s="83"/>
      <c r="C16" s="85" t="s">
        <v>163</v>
      </c>
      <c r="D16" s="23" t="s">
        <v>164</v>
      </c>
      <c r="E16" s="14"/>
      <c r="F16" s="23" t="s">
        <v>165</v>
      </c>
      <c r="G16" s="23" t="s">
        <v>815</v>
      </c>
      <c r="H16" s="70" t="s">
        <v>29</v>
      </c>
      <c r="I16" s="2" t="s">
        <v>24</v>
      </c>
      <c r="J16" s="2" t="s">
        <v>26</v>
      </c>
    </row>
    <row r="17" spans="1:10" ht="118.8" x14ac:dyDescent="0.3">
      <c r="A17" s="14" t="s">
        <v>197</v>
      </c>
      <c r="B17" s="83"/>
      <c r="C17" s="86"/>
      <c r="D17" s="23" t="s">
        <v>166</v>
      </c>
      <c r="E17" s="14"/>
      <c r="F17" s="23" t="s">
        <v>167</v>
      </c>
      <c r="G17" s="23" t="s">
        <v>168</v>
      </c>
      <c r="H17" s="70" t="s">
        <v>29</v>
      </c>
      <c r="I17" s="2" t="s">
        <v>24</v>
      </c>
      <c r="J17" s="2" t="s">
        <v>26</v>
      </c>
    </row>
    <row r="18" spans="1:10" ht="118.8" x14ac:dyDescent="0.3">
      <c r="A18" s="14" t="s">
        <v>198</v>
      </c>
      <c r="B18" s="83"/>
      <c r="C18" s="86"/>
      <c r="D18" s="23" t="s">
        <v>169</v>
      </c>
      <c r="E18" s="14"/>
      <c r="F18" s="23" t="s">
        <v>172</v>
      </c>
      <c r="G18" s="23" t="s">
        <v>174</v>
      </c>
      <c r="H18" s="70" t="s">
        <v>29</v>
      </c>
      <c r="I18" s="2" t="s">
        <v>24</v>
      </c>
      <c r="J18" s="2" t="s">
        <v>26</v>
      </c>
    </row>
    <row r="19" spans="1:10" ht="92.4" x14ac:dyDescent="0.3">
      <c r="A19" s="14" t="s">
        <v>199</v>
      </c>
      <c r="B19" s="83"/>
      <c r="C19" s="86"/>
      <c r="D19" s="23" t="s">
        <v>173</v>
      </c>
      <c r="E19" s="14"/>
      <c r="F19" s="23" t="s">
        <v>170</v>
      </c>
      <c r="G19" s="23" t="s">
        <v>171</v>
      </c>
      <c r="H19" s="70" t="s">
        <v>29</v>
      </c>
      <c r="I19" s="2" t="s">
        <v>24</v>
      </c>
      <c r="J19" s="2" t="s">
        <v>26</v>
      </c>
    </row>
    <row r="20" spans="1:10" ht="66" x14ac:dyDescent="0.3">
      <c r="A20" s="14" t="s">
        <v>200</v>
      </c>
      <c r="B20" s="83"/>
      <c r="C20" s="86"/>
      <c r="D20" s="23" t="s">
        <v>179</v>
      </c>
      <c r="E20" s="14"/>
      <c r="F20" s="23" t="s">
        <v>177</v>
      </c>
      <c r="G20" s="23" t="s">
        <v>180</v>
      </c>
      <c r="H20" s="70" t="s">
        <v>29</v>
      </c>
      <c r="I20" s="2" t="s">
        <v>24</v>
      </c>
      <c r="J20" s="2" t="s">
        <v>26</v>
      </c>
    </row>
    <row r="21" spans="1:10" ht="66" x14ac:dyDescent="0.3">
      <c r="A21" s="14" t="s">
        <v>201</v>
      </c>
      <c r="B21" s="83"/>
      <c r="C21" s="87"/>
      <c r="D21" s="23" t="s">
        <v>178</v>
      </c>
      <c r="E21" s="14"/>
      <c r="F21" s="23" t="s">
        <v>175</v>
      </c>
      <c r="G21" s="23" t="s">
        <v>176</v>
      </c>
      <c r="H21" s="70" t="s">
        <v>29</v>
      </c>
      <c r="I21" s="2" t="s">
        <v>24</v>
      </c>
      <c r="J21" s="2" t="s">
        <v>26</v>
      </c>
    </row>
    <row r="22" spans="1:10" ht="92.4" x14ac:dyDescent="0.3">
      <c r="A22" s="14" t="s">
        <v>202</v>
      </c>
      <c r="B22" s="83"/>
      <c r="C22" s="85" t="s">
        <v>182</v>
      </c>
      <c r="D22" s="23" t="s">
        <v>181</v>
      </c>
      <c r="E22" s="14"/>
      <c r="F22" s="23" t="s">
        <v>183</v>
      </c>
      <c r="G22" s="23" t="s">
        <v>184</v>
      </c>
      <c r="H22" s="70" t="s">
        <v>29</v>
      </c>
      <c r="I22" s="2" t="s">
        <v>24</v>
      </c>
      <c r="J22" s="2" t="s">
        <v>26</v>
      </c>
    </row>
    <row r="23" spans="1:10" ht="79.2" x14ac:dyDescent="0.3">
      <c r="A23" s="14" t="s">
        <v>203</v>
      </c>
      <c r="B23" s="83"/>
      <c r="C23" s="87"/>
      <c r="D23" s="23" t="s">
        <v>185</v>
      </c>
      <c r="E23" s="14"/>
      <c r="F23" s="23" t="s">
        <v>186</v>
      </c>
      <c r="G23" s="23" t="s">
        <v>184</v>
      </c>
      <c r="H23" s="70" t="s">
        <v>29</v>
      </c>
      <c r="I23" s="2" t="s">
        <v>24</v>
      </c>
      <c r="J23" s="2" t="s">
        <v>26</v>
      </c>
    </row>
    <row r="24" spans="1:10" ht="66" x14ac:dyDescent="0.3">
      <c r="A24" s="14" t="s">
        <v>204</v>
      </c>
      <c r="B24" s="83"/>
      <c r="C24" s="71" t="s">
        <v>187</v>
      </c>
      <c r="D24" s="23" t="s">
        <v>188</v>
      </c>
      <c r="E24" s="14"/>
      <c r="F24" s="23" t="s">
        <v>189</v>
      </c>
      <c r="G24" s="23" t="s">
        <v>190</v>
      </c>
      <c r="H24" s="70" t="s">
        <v>29</v>
      </c>
      <c r="I24" s="2" t="s">
        <v>24</v>
      </c>
      <c r="J24" s="2" t="s">
        <v>26</v>
      </c>
    </row>
    <row r="25" spans="1:10" ht="79.2" x14ac:dyDescent="0.3">
      <c r="A25" s="14" t="s">
        <v>205</v>
      </c>
      <c r="B25" s="23" t="s">
        <v>195</v>
      </c>
      <c r="C25" s="23" t="s">
        <v>193</v>
      </c>
      <c r="D25" s="23" t="s">
        <v>217</v>
      </c>
      <c r="E25" s="14"/>
      <c r="F25" s="23" t="s">
        <v>218</v>
      </c>
      <c r="G25" s="23" t="s">
        <v>194</v>
      </c>
      <c r="H25" s="70" t="s">
        <v>29</v>
      </c>
      <c r="I25" s="2" t="s">
        <v>206</v>
      </c>
      <c r="J25" s="2" t="s">
        <v>26</v>
      </c>
    </row>
  </sheetData>
  <mergeCells count="5">
    <mergeCell ref="B13:B24"/>
    <mergeCell ref="B9:B12"/>
    <mergeCell ref="C13:C15"/>
    <mergeCell ref="C16:C21"/>
    <mergeCell ref="C22:C23"/>
  </mergeCells>
  <dataValidations count="2">
    <dataValidation type="list" allowBlank="1" showInputMessage="1" showErrorMessage="1" prompt=" - " sqref="H7">
      <formula1>$L$8:$L$12</formula1>
    </dataValidation>
    <dataValidation type="list" allowBlank="1" showInputMessage="1" showErrorMessage="1" prompt=" - " sqref="H25 H8:H24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D22" sqref="D22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7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COUNTIF(H7:I993,"Pass")</f>
        <v>15</v>
      </c>
      <c r="B4" s="60">
        <f>COUNTIF(H7:I993,"Fail")</f>
        <v>0</v>
      </c>
      <c r="C4" s="60">
        <f>E4-D4-A4-B4</f>
        <v>0</v>
      </c>
      <c r="D4" s="61">
        <f>COUNTIF(H$8:I$994,"N/A")</f>
        <v>0</v>
      </c>
      <c r="E4" s="62">
        <f>COUNTA(A8:A997)</f>
        <v>15</v>
      </c>
    </row>
    <row r="7" spans="1:10" x14ac:dyDescent="0.3">
      <c r="A7" s="12" t="s">
        <v>123</v>
      </c>
      <c r="B7" s="12" t="s">
        <v>124</v>
      </c>
      <c r="C7" s="12" t="s">
        <v>125</v>
      </c>
      <c r="D7" s="12" t="s">
        <v>126</v>
      </c>
      <c r="E7" s="12" t="s">
        <v>127</v>
      </c>
      <c r="F7" s="12" t="s">
        <v>128</v>
      </c>
      <c r="G7" s="12" t="s">
        <v>129</v>
      </c>
      <c r="H7" s="13" t="s">
        <v>27</v>
      </c>
      <c r="I7" s="25" t="s">
        <v>210</v>
      </c>
      <c r="J7" s="15" t="s">
        <v>20</v>
      </c>
    </row>
    <row r="8" spans="1:10" ht="26.4" x14ac:dyDescent="0.3">
      <c r="A8" s="23" t="s">
        <v>225</v>
      </c>
      <c r="B8" s="14" t="s">
        <v>130</v>
      </c>
      <c r="C8" s="14"/>
      <c r="D8" s="24" t="s">
        <v>207</v>
      </c>
      <c r="E8" s="23" t="s">
        <v>212</v>
      </c>
      <c r="F8" s="24" t="s">
        <v>208</v>
      </c>
      <c r="G8" s="20" t="s">
        <v>209</v>
      </c>
      <c r="H8" s="76" t="s">
        <v>29</v>
      </c>
      <c r="I8" s="2" t="s">
        <v>206</v>
      </c>
      <c r="J8" s="2" t="s">
        <v>26</v>
      </c>
    </row>
    <row r="9" spans="1:10" ht="26.4" x14ac:dyDescent="0.3">
      <c r="A9" s="23" t="s">
        <v>226</v>
      </c>
      <c r="B9" s="82" t="s">
        <v>131</v>
      </c>
      <c r="C9" s="16"/>
      <c r="D9" s="19" t="s">
        <v>146</v>
      </c>
      <c r="E9" s="21"/>
      <c r="F9" s="19" t="s">
        <v>150</v>
      </c>
      <c r="G9" s="20" t="s">
        <v>151</v>
      </c>
      <c r="H9" s="76" t="s">
        <v>29</v>
      </c>
      <c r="I9" s="2" t="s">
        <v>25</v>
      </c>
      <c r="J9" s="2" t="s">
        <v>26</v>
      </c>
    </row>
    <row r="10" spans="1:10" ht="26.4" x14ac:dyDescent="0.3">
      <c r="A10" s="23" t="s">
        <v>227</v>
      </c>
      <c r="B10" s="83"/>
      <c r="C10" s="16"/>
      <c r="D10" s="19" t="s">
        <v>147</v>
      </c>
      <c r="E10" s="17"/>
      <c r="F10" s="22" t="s">
        <v>152</v>
      </c>
      <c r="G10" s="20" t="s">
        <v>151</v>
      </c>
      <c r="H10" s="76" t="s">
        <v>29</v>
      </c>
      <c r="I10" s="2" t="s">
        <v>25</v>
      </c>
      <c r="J10" s="2" t="s">
        <v>26</v>
      </c>
    </row>
    <row r="11" spans="1:10" ht="26.4" x14ac:dyDescent="0.3">
      <c r="A11" s="23" t="s">
        <v>228</v>
      </c>
      <c r="B11" s="83"/>
      <c r="C11" s="16"/>
      <c r="D11" s="19" t="s">
        <v>148</v>
      </c>
      <c r="E11" s="17"/>
      <c r="F11" s="23" t="s">
        <v>153</v>
      </c>
      <c r="G11" s="23" t="s">
        <v>155</v>
      </c>
      <c r="H11" s="76" t="s">
        <v>29</v>
      </c>
      <c r="I11" s="2" t="s">
        <v>25</v>
      </c>
      <c r="J11" s="2" t="s">
        <v>26</v>
      </c>
    </row>
    <row r="12" spans="1:10" ht="26.4" x14ac:dyDescent="0.3">
      <c r="A12" s="23" t="s">
        <v>229</v>
      </c>
      <c r="B12" s="84"/>
      <c r="C12" s="16"/>
      <c r="D12" s="19" t="s">
        <v>149</v>
      </c>
      <c r="E12" s="17"/>
      <c r="F12" s="23" t="s">
        <v>154</v>
      </c>
      <c r="G12" s="23" t="s">
        <v>156</v>
      </c>
      <c r="H12" s="76" t="s">
        <v>29</v>
      </c>
      <c r="I12" s="2" t="s">
        <v>25</v>
      </c>
      <c r="J12" s="2" t="s">
        <v>26</v>
      </c>
    </row>
    <row r="13" spans="1:10" ht="66" x14ac:dyDescent="0.3">
      <c r="A13" s="23" t="s">
        <v>230</v>
      </c>
      <c r="B13" s="82" t="s">
        <v>132</v>
      </c>
      <c r="C13" s="82" t="s">
        <v>133</v>
      </c>
      <c r="D13" s="22" t="s">
        <v>134</v>
      </c>
      <c r="E13" s="14"/>
      <c r="F13" s="23" t="s">
        <v>159</v>
      </c>
      <c r="G13" s="23" t="s">
        <v>211</v>
      </c>
      <c r="H13" s="76" t="s">
        <v>29</v>
      </c>
      <c r="I13" s="2" t="s">
        <v>24</v>
      </c>
      <c r="J13" s="2" t="s">
        <v>26</v>
      </c>
    </row>
    <row r="14" spans="1:10" ht="66" x14ac:dyDescent="0.3">
      <c r="A14" s="23" t="s">
        <v>231</v>
      </c>
      <c r="B14" s="83"/>
      <c r="C14" s="83"/>
      <c r="D14" s="23" t="s">
        <v>157</v>
      </c>
      <c r="E14" s="14"/>
      <c r="F14" s="23" t="s">
        <v>213</v>
      </c>
      <c r="G14" s="23" t="s">
        <v>214</v>
      </c>
      <c r="H14" s="76" t="s">
        <v>29</v>
      </c>
      <c r="I14" s="2" t="s">
        <v>24</v>
      </c>
      <c r="J14" s="2" t="s">
        <v>26</v>
      </c>
    </row>
    <row r="15" spans="1:10" ht="79.2" x14ac:dyDescent="0.3">
      <c r="A15" s="23" t="s">
        <v>232</v>
      </c>
      <c r="B15" s="83"/>
      <c r="C15" s="84"/>
      <c r="D15" s="23" t="s">
        <v>161</v>
      </c>
      <c r="E15" s="14"/>
      <c r="F15" s="23" t="s">
        <v>162</v>
      </c>
      <c r="G15" s="23" t="s">
        <v>214</v>
      </c>
      <c r="H15" s="76" t="s">
        <v>29</v>
      </c>
      <c r="I15" s="2" t="s">
        <v>24</v>
      </c>
      <c r="J15" s="2" t="s">
        <v>26</v>
      </c>
    </row>
    <row r="16" spans="1:10" ht="66" x14ac:dyDescent="0.3">
      <c r="A16" s="23" t="s">
        <v>233</v>
      </c>
      <c r="B16" s="83"/>
      <c r="C16" s="26" t="s">
        <v>163</v>
      </c>
      <c r="D16" s="23" t="s">
        <v>164</v>
      </c>
      <c r="E16" s="14"/>
      <c r="F16" s="23" t="s">
        <v>165</v>
      </c>
      <c r="G16" s="23" t="s">
        <v>215</v>
      </c>
      <c r="H16" s="76" t="s">
        <v>29</v>
      </c>
      <c r="I16" s="2" t="s">
        <v>24</v>
      </c>
      <c r="J16" s="2" t="s">
        <v>26</v>
      </c>
    </row>
    <row r="17" spans="1:10" ht="66" x14ac:dyDescent="0.3">
      <c r="A17" s="37" t="s">
        <v>234</v>
      </c>
      <c r="B17" s="88" t="s">
        <v>195</v>
      </c>
      <c r="C17" s="88" t="s">
        <v>244</v>
      </c>
      <c r="D17" s="39" t="s">
        <v>135</v>
      </c>
      <c r="E17" s="14"/>
      <c r="F17" s="23" t="s">
        <v>219</v>
      </c>
      <c r="G17" s="23" t="s">
        <v>220</v>
      </c>
      <c r="H17" s="76" t="s">
        <v>29</v>
      </c>
      <c r="I17" s="2" t="s">
        <v>206</v>
      </c>
      <c r="J17" s="2" t="s">
        <v>26</v>
      </c>
    </row>
    <row r="18" spans="1:10" ht="52.8" x14ac:dyDescent="0.3">
      <c r="A18" s="37" t="s">
        <v>235</v>
      </c>
      <c r="B18" s="88"/>
      <c r="C18" s="88"/>
      <c r="D18" s="39" t="s">
        <v>221</v>
      </c>
      <c r="E18" s="14"/>
      <c r="F18" s="23" t="s">
        <v>222</v>
      </c>
      <c r="G18" s="23" t="s">
        <v>216</v>
      </c>
      <c r="H18" s="76" t="s">
        <v>29</v>
      </c>
      <c r="I18" s="2" t="s">
        <v>206</v>
      </c>
      <c r="J18" s="2" t="s">
        <v>26</v>
      </c>
    </row>
    <row r="19" spans="1:10" ht="52.8" x14ac:dyDescent="0.3">
      <c r="A19" s="72" t="s">
        <v>236</v>
      </c>
      <c r="B19" s="88"/>
      <c r="C19" s="88"/>
      <c r="D19" s="74" t="s">
        <v>223</v>
      </c>
      <c r="E19" s="18"/>
      <c r="F19" s="24" t="s">
        <v>224</v>
      </c>
      <c r="G19" s="24" t="s">
        <v>216</v>
      </c>
      <c r="H19" s="76" t="s">
        <v>29</v>
      </c>
      <c r="I19" s="28" t="s">
        <v>206</v>
      </c>
      <c r="J19" s="28" t="s">
        <v>26</v>
      </c>
    </row>
    <row r="20" spans="1:10" s="2" customFormat="1" ht="66" x14ac:dyDescent="0.3">
      <c r="A20" s="72" t="s">
        <v>237</v>
      </c>
      <c r="B20" s="88"/>
      <c r="C20" s="88"/>
      <c r="D20" s="75" t="s">
        <v>241</v>
      </c>
      <c r="E20" s="35"/>
      <c r="F20" s="23" t="s">
        <v>219</v>
      </c>
      <c r="G20" s="23" t="s">
        <v>816</v>
      </c>
      <c r="H20" s="76" t="s">
        <v>29</v>
      </c>
      <c r="I20" s="2" t="s">
        <v>206</v>
      </c>
      <c r="J20" s="2" t="s">
        <v>26</v>
      </c>
    </row>
    <row r="21" spans="1:10" ht="52.8" x14ac:dyDescent="0.3">
      <c r="A21" s="72" t="s">
        <v>238</v>
      </c>
      <c r="B21" s="88"/>
      <c r="C21" s="88"/>
      <c r="D21" s="39" t="s">
        <v>242</v>
      </c>
      <c r="E21" s="14"/>
      <c r="F21" s="23" t="s">
        <v>222</v>
      </c>
      <c r="G21" s="23" t="s">
        <v>216</v>
      </c>
      <c r="H21" s="76" t="s">
        <v>29</v>
      </c>
      <c r="I21" s="2" t="s">
        <v>206</v>
      </c>
      <c r="J21" s="2" t="s">
        <v>26</v>
      </c>
    </row>
    <row r="22" spans="1:10" s="2" customFormat="1" ht="52.8" x14ac:dyDescent="0.3">
      <c r="A22" s="73" t="s">
        <v>239</v>
      </c>
      <c r="B22" s="88"/>
      <c r="C22" s="88"/>
      <c r="D22" s="75" t="s">
        <v>243</v>
      </c>
      <c r="E22" s="35"/>
      <c r="F22" s="34" t="s">
        <v>224</v>
      </c>
      <c r="G22" s="34" t="s">
        <v>216</v>
      </c>
      <c r="H22" s="76" t="s">
        <v>29</v>
      </c>
      <c r="I22" s="2" t="s">
        <v>206</v>
      </c>
      <c r="J22" s="2" t="s">
        <v>26</v>
      </c>
    </row>
  </sheetData>
  <mergeCells count="5">
    <mergeCell ref="C17:C22"/>
    <mergeCell ref="B17:B22"/>
    <mergeCell ref="B9:B12"/>
    <mergeCell ref="B13:B16"/>
    <mergeCell ref="C13:C15"/>
  </mergeCells>
  <dataValidations count="2">
    <dataValidation type="list" allowBlank="1" showInputMessage="1" showErrorMessage="1" prompt=" - " sqref="H8:H22">
      <formula1>"Pass,Fail,Untested,N/A"</formula1>
    </dataValidation>
    <dataValidation type="list" allowBlank="1" showInputMessage="1" showErrorMessage="1" prompt=" - " sqref="H7">
      <formula1>$L$8:$L$12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topLeftCell="E31" workbookViewId="0">
      <selection activeCell="G18" sqref="G18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1" x14ac:dyDescent="0.3">
      <c r="A1" s="47" t="s">
        <v>449</v>
      </c>
      <c r="B1" s="48" t="s">
        <v>455</v>
      </c>
      <c r="C1" s="49"/>
      <c r="D1" s="50"/>
      <c r="E1" s="51"/>
    </row>
    <row r="2" spans="1:11" x14ac:dyDescent="0.3">
      <c r="A2" s="52" t="s">
        <v>5</v>
      </c>
      <c r="B2" s="53" t="s">
        <v>454</v>
      </c>
      <c r="C2" s="54"/>
      <c r="D2" s="54"/>
      <c r="E2" s="55"/>
    </row>
    <row r="3" spans="1:11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1" ht="21" customHeight="1" thickBot="1" x14ac:dyDescent="0.35">
      <c r="A4" s="59">
        <f>COUNTIF(H7:I993,"Pass")</f>
        <v>13</v>
      </c>
      <c r="B4" s="60">
        <f>COUNTIF(H7:I993,"Fail")</f>
        <v>4</v>
      </c>
      <c r="C4" s="60">
        <f>E4-D4-A4-B4</f>
        <v>0</v>
      </c>
      <c r="D4" s="61">
        <f>COUNTIF(H$8:I$994,"N/A")</f>
        <v>0</v>
      </c>
      <c r="E4" s="62">
        <f>COUNTA(A8:A997)</f>
        <v>17</v>
      </c>
    </row>
    <row r="7" spans="1:11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1" ht="39.6" x14ac:dyDescent="0.3">
      <c r="A8" s="34" t="s">
        <v>288</v>
      </c>
      <c r="B8" s="89" t="s">
        <v>130</v>
      </c>
      <c r="C8" s="35"/>
      <c r="D8" s="34" t="s">
        <v>245</v>
      </c>
      <c r="E8" s="34" t="s">
        <v>248</v>
      </c>
      <c r="F8" s="34" t="s">
        <v>250</v>
      </c>
      <c r="G8" s="36" t="s">
        <v>246</v>
      </c>
      <c r="H8" s="77" t="s">
        <v>29</v>
      </c>
      <c r="I8" s="2" t="s">
        <v>206</v>
      </c>
      <c r="J8" s="2" t="s">
        <v>26</v>
      </c>
    </row>
    <row r="9" spans="1:11" ht="39.6" x14ac:dyDescent="0.3">
      <c r="A9" s="34" t="s">
        <v>289</v>
      </c>
      <c r="B9" s="90"/>
      <c r="C9" s="35"/>
      <c r="D9" s="34" t="s">
        <v>247</v>
      </c>
      <c r="E9" s="34" t="s">
        <v>249</v>
      </c>
      <c r="F9" s="34" t="s">
        <v>250</v>
      </c>
      <c r="G9" s="36" t="s">
        <v>251</v>
      </c>
      <c r="H9" s="77" t="s">
        <v>29</v>
      </c>
      <c r="I9" s="2" t="s">
        <v>206</v>
      </c>
      <c r="J9" s="2"/>
    </row>
    <row r="10" spans="1:11" ht="26.4" x14ac:dyDescent="0.3">
      <c r="A10" s="34" t="s">
        <v>290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1" ht="26.4" x14ac:dyDescent="0.3">
      <c r="A11" s="34" t="s">
        <v>291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1" ht="26.4" x14ac:dyDescent="0.3">
      <c r="A12" s="34" t="s">
        <v>292</v>
      </c>
      <c r="B12" s="83"/>
      <c r="C12" s="16"/>
      <c r="D12" s="19" t="s">
        <v>148</v>
      </c>
      <c r="E12" s="17"/>
      <c r="F12" s="23" t="s">
        <v>153</v>
      </c>
      <c r="G12" s="23" t="s">
        <v>155</v>
      </c>
      <c r="H12" s="77" t="s">
        <v>29</v>
      </c>
      <c r="I12" s="2" t="s">
        <v>25</v>
      </c>
      <c r="J12" s="2" t="s">
        <v>26</v>
      </c>
    </row>
    <row r="13" spans="1:11" ht="26.4" x14ac:dyDescent="0.3">
      <c r="A13" s="34" t="s">
        <v>293</v>
      </c>
      <c r="B13" s="84"/>
      <c r="C13" s="16"/>
      <c r="D13" s="19" t="s">
        <v>149</v>
      </c>
      <c r="E13" s="17"/>
      <c r="F13" s="23" t="s">
        <v>154</v>
      </c>
      <c r="G13" s="23" t="s">
        <v>156</v>
      </c>
      <c r="H13" s="77" t="s">
        <v>29</v>
      </c>
      <c r="I13" s="2" t="s">
        <v>25</v>
      </c>
      <c r="J13" s="2" t="s">
        <v>26</v>
      </c>
    </row>
    <row r="14" spans="1:11" ht="26.4" x14ac:dyDescent="0.3">
      <c r="A14" s="34" t="s">
        <v>294</v>
      </c>
      <c r="B14" s="82" t="s">
        <v>132</v>
      </c>
      <c r="C14" s="85" t="s">
        <v>252</v>
      </c>
      <c r="D14" s="22" t="s">
        <v>253</v>
      </c>
      <c r="E14" s="23" t="s">
        <v>287</v>
      </c>
      <c r="F14" s="23" t="s">
        <v>256</v>
      </c>
      <c r="G14" s="23" t="s">
        <v>254</v>
      </c>
      <c r="H14" s="78" t="s">
        <v>30</v>
      </c>
      <c r="I14" s="2" t="s">
        <v>24</v>
      </c>
      <c r="J14" s="2" t="s">
        <v>26</v>
      </c>
      <c r="K14" s="46" t="s">
        <v>448</v>
      </c>
    </row>
    <row r="15" spans="1:11" ht="39.6" x14ac:dyDescent="0.3">
      <c r="A15" s="34" t="s">
        <v>295</v>
      </c>
      <c r="B15" s="83"/>
      <c r="C15" s="86"/>
      <c r="D15" s="23" t="s">
        <v>255</v>
      </c>
      <c r="E15" s="23" t="s">
        <v>287</v>
      </c>
      <c r="F15" s="23" t="s">
        <v>257</v>
      </c>
      <c r="G15" s="23" t="s">
        <v>258</v>
      </c>
      <c r="H15" s="77" t="s">
        <v>29</v>
      </c>
      <c r="I15" s="2" t="s">
        <v>24</v>
      </c>
      <c r="J15" s="2" t="s">
        <v>26</v>
      </c>
    </row>
    <row r="16" spans="1:11" ht="39.6" x14ac:dyDescent="0.3">
      <c r="A16" s="34" t="s">
        <v>296</v>
      </c>
      <c r="B16" s="83"/>
      <c r="C16" s="86"/>
      <c r="D16" s="23" t="s">
        <v>259</v>
      </c>
      <c r="E16" s="23" t="s">
        <v>287</v>
      </c>
      <c r="F16" s="23" t="s">
        <v>260</v>
      </c>
      <c r="G16" s="23" t="s">
        <v>261</v>
      </c>
      <c r="H16" s="78" t="s">
        <v>30</v>
      </c>
      <c r="I16" s="2" t="s">
        <v>24</v>
      </c>
      <c r="J16" s="2" t="s">
        <v>26</v>
      </c>
      <c r="K16" s="46" t="s">
        <v>448</v>
      </c>
    </row>
    <row r="17" spans="1:11" ht="39.6" x14ac:dyDescent="0.3">
      <c r="A17" s="34" t="s">
        <v>297</v>
      </c>
      <c r="B17" s="83"/>
      <c r="C17" s="86"/>
      <c r="D17" s="23" t="s">
        <v>262</v>
      </c>
      <c r="E17" s="23" t="s">
        <v>287</v>
      </c>
      <c r="F17" s="23" t="s">
        <v>263</v>
      </c>
      <c r="G17" s="23" t="s">
        <v>258</v>
      </c>
      <c r="H17" s="77" t="s">
        <v>29</v>
      </c>
      <c r="I17" s="2" t="s">
        <v>24</v>
      </c>
      <c r="J17" s="2" t="s">
        <v>26</v>
      </c>
    </row>
    <row r="18" spans="1:11" ht="26.4" x14ac:dyDescent="0.3">
      <c r="A18" s="34" t="s">
        <v>298</v>
      </c>
      <c r="B18" s="38"/>
      <c r="C18" s="86"/>
      <c r="D18" s="23" t="s">
        <v>264</v>
      </c>
      <c r="E18" s="23" t="s">
        <v>265</v>
      </c>
      <c r="F18" s="23" t="s">
        <v>266</v>
      </c>
      <c r="G18" s="23" t="s">
        <v>267</v>
      </c>
      <c r="H18" s="78" t="s">
        <v>30</v>
      </c>
      <c r="I18" s="2" t="s">
        <v>24</v>
      </c>
      <c r="J18" s="2" t="s">
        <v>26</v>
      </c>
      <c r="K18" s="46" t="s">
        <v>448</v>
      </c>
    </row>
    <row r="19" spans="1:11" ht="39.6" x14ac:dyDescent="0.3">
      <c r="A19" s="34" t="s">
        <v>299</v>
      </c>
      <c r="B19" s="38"/>
      <c r="C19" s="94"/>
      <c r="D19" s="23" t="s">
        <v>268</v>
      </c>
      <c r="E19" s="23" t="s">
        <v>287</v>
      </c>
      <c r="F19" s="23" t="s">
        <v>269</v>
      </c>
      <c r="G19" s="23" t="s">
        <v>270</v>
      </c>
      <c r="H19" s="77" t="s">
        <v>29</v>
      </c>
      <c r="I19" s="2" t="s">
        <v>24</v>
      </c>
      <c r="J19" s="2" t="s">
        <v>26</v>
      </c>
    </row>
    <row r="20" spans="1:11" ht="39.6" x14ac:dyDescent="0.3">
      <c r="A20" s="34" t="s">
        <v>300</v>
      </c>
      <c r="B20" s="91" t="s">
        <v>195</v>
      </c>
      <c r="C20" s="88" t="s">
        <v>277</v>
      </c>
      <c r="D20" s="39" t="s">
        <v>271</v>
      </c>
      <c r="E20" s="23" t="s">
        <v>287</v>
      </c>
      <c r="F20" s="23" t="s">
        <v>272</v>
      </c>
      <c r="G20" s="23" t="s">
        <v>273</v>
      </c>
      <c r="H20" s="77" t="s">
        <v>29</v>
      </c>
      <c r="I20" s="2" t="s">
        <v>206</v>
      </c>
      <c r="J20" s="2" t="s">
        <v>26</v>
      </c>
    </row>
    <row r="21" spans="1:11" ht="39.6" x14ac:dyDescent="0.3">
      <c r="A21" s="34" t="s">
        <v>301</v>
      </c>
      <c r="B21" s="92"/>
      <c r="C21" s="88"/>
      <c r="D21" s="39" t="s">
        <v>274</v>
      </c>
      <c r="E21" s="23" t="s">
        <v>287</v>
      </c>
      <c r="F21" s="23" t="s">
        <v>275</v>
      </c>
      <c r="G21" s="23" t="s">
        <v>276</v>
      </c>
      <c r="H21" s="77" t="s">
        <v>29</v>
      </c>
      <c r="I21" s="2" t="s">
        <v>206</v>
      </c>
      <c r="J21" s="2" t="s">
        <v>26</v>
      </c>
    </row>
    <row r="22" spans="1:11" ht="26.4" x14ac:dyDescent="0.3">
      <c r="A22" s="34" t="s">
        <v>302</v>
      </c>
      <c r="B22" s="92"/>
      <c r="C22" s="88" t="s">
        <v>278</v>
      </c>
      <c r="D22" s="39" t="s">
        <v>279</v>
      </c>
      <c r="E22" s="23" t="s">
        <v>287</v>
      </c>
      <c r="F22" s="23" t="s">
        <v>280</v>
      </c>
      <c r="G22" s="23" t="s">
        <v>281</v>
      </c>
      <c r="H22" s="77" t="s">
        <v>29</v>
      </c>
      <c r="I22" s="2" t="s">
        <v>206</v>
      </c>
      <c r="J22" s="2" t="s">
        <v>26</v>
      </c>
    </row>
    <row r="23" spans="1:11" ht="26.4" x14ac:dyDescent="0.3">
      <c r="A23" s="34" t="s">
        <v>303</v>
      </c>
      <c r="B23" s="92"/>
      <c r="C23" s="88"/>
      <c r="D23" s="39" t="s">
        <v>282</v>
      </c>
      <c r="E23" s="23" t="s">
        <v>287</v>
      </c>
      <c r="F23" s="23" t="s">
        <v>283</v>
      </c>
      <c r="G23" s="23" t="s">
        <v>284</v>
      </c>
      <c r="H23" s="77" t="s">
        <v>29</v>
      </c>
      <c r="I23" s="2" t="s">
        <v>206</v>
      </c>
      <c r="J23" s="2" t="s">
        <v>26</v>
      </c>
    </row>
    <row r="24" spans="1:11" ht="52.8" x14ac:dyDescent="0.3">
      <c r="A24" s="34" t="s">
        <v>304</v>
      </c>
      <c r="B24" s="93"/>
      <c r="C24" s="88"/>
      <c r="D24" s="39" t="s">
        <v>285</v>
      </c>
      <c r="E24" s="23" t="s">
        <v>286</v>
      </c>
      <c r="F24" s="23" t="s">
        <v>224</v>
      </c>
      <c r="G24" s="23" t="s">
        <v>261</v>
      </c>
      <c r="H24" s="78" t="s">
        <v>30</v>
      </c>
      <c r="I24" s="2" t="s">
        <v>206</v>
      </c>
      <c r="J24" s="2" t="s">
        <v>26</v>
      </c>
      <c r="K24" s="46" t="s">
        <v>448</v>
      </c>
    </row>
  </sheetData>
  <mergeCells count="7">
    <mergeCell ref="B8:B9"/>
    <mergeCell ref="C22:C24"/>
    <mergeCell ref="B20:B24"/>
    <mergeCell ref="B10:B13"/>
    <mergeCell ref="B14:B17"/>
    <mergeCell ref="C20:C21"/>
    <mergeCell ref="C14:C19"/>
  </mergeCells>
  <dataValidations count="2">
    <dataValidation type="list" allowBlank="1" showInputMessage="1" showErrorMessage="1" prompt=" - " sqref="H7">
      <formula1>$L$8:$L$13</formula1>
    </dataValidation>
    <dataValidation type="list" allowBlank="1" showInputMessage="1" showErrorMessage="1" prompt=" - " sqref="H8:H24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"/>
  <sheetViews>
    <sheetView topLeftCell="F22" workbookViewId="0">
      <selection activeCell="D8" sqref="D8"/>
    </sheetView>
  </sheetViews>
  <sheetFormatPr defaultRowHeight="14.4" x14ac:dyDescent="0.3"/>
  <cols>
    <col min="1" max="1" width="15.6640625" customWidth="1"/>
    <col min="2" max="2" width="22.66406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456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COUNTIF(H7:I993,"Pass")</f>
        <v>21</v>
      </c>
      <c r="B4" s="60">
        <f>COUNTIF(H7:I993,"Fail")</f>
        <v>0</v>
      </c>
      <c r="C4" s="60">
        <f>E4-D4-A4-B4</f>
        <v>0</v>
      </c>
      <c r="D4" s="61">
        <f>COUNTIF(H$8:I$994,"N/A")</f>
        <v>0</v>
      </c>
      <c r="E4" s="62">
        <f>COUNTA(A8:A997)</f>
        <v>21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349</v>
      </c>
      <c r="B8" s="89" t="s">
        <v>130</v>
      </c>
      <c r="C8" s="35"/>
      <c r="D8" s="34" t="s">
        <v>305</v>
      </c>
      <c r="E8" s="34" t="s">
        <v>248</v>
      </c>
      <c r="F8" s="34" t="s">
        <v>307</v>
      </c>
      <c r="G8" s="36" t="s">
        <v>308</v>
      </c>
      <c r="H8" s="79" t="s">
        <v>29</v>
      </c>
      <c r="I8" s="2" t="s">
        <v>206</v>
      </c>
      <c r="J8" s="2" t="s">
        <v>26</v>
      </c>
    </row>
    <row r="9" spans="1:10" ht="52.8" x14ac:dyDescent="0.3">
      <c r="A9" s="34" t="s">
        <v>350</v>
      </c>
      <c r="B9" s="90"/>
      <c r="C9" s="35"/>
      <c r="D9" s="34" t="s">
        <v>306</v>
      </c>
      <c r="E9" s="34" t="s">
        <v>249</v>
      </c>
      <c r="F9" s="34" t="s">
        <v>307</v>
      </c>
      <c r="G9" s="36" t="s">
        <v>308</v>
      </c>
      <c r="H9" s="79" t="s">
        <v>29</v>
      </c>
      <c r="I9" s="2" t="s">
        <v>206</v>
      </c>
      <c r="J9" s="2"/>
    </row>
    <row r="10" spans="1:10" ht="26.4" x14ac:dyDescent="0.3">
      <c r="A10" s="34" t="s">
        <v>351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9" t="s">
        <v>29</v>
      </c>
      <c r="I10" s="33" t="s">
        <v>25</v>
      </c>
      <c r="J10" s="33" t="s">
        <v>26</v>
      </c>
    </row>
    <row r="11" spans="1:10" ht="26.4" x14ac:dyDescent="0.3">
      <c r="A11" s="34" t="s">
        <v>352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9" t="s">
        <v>29</v>
      </c>
      <c r="I11" s="2" t="s">
        <v>25</v>
      </c>
      <c r="J11" s="2" t="s">
        <v>26</v>
      </c>
    </row>
    <row r="12" spans="1:10" ht="26.4" x14ac:dyDescent="0.3">
      <c r="A12" s="34" t="s">
        <v>353</v>
      </c>
      <c r="B12" s="83"/>
      <c r="C12" s="16"/>
      <c r="D12" s="19" t="s">
        <v>148</v>
      </c>
      <c r="E12" s="17"/>
      <c r="F12" s="23" t="s">
        <v>153</v>
      </c>
      <c r="G12" s="23" t="s">
        <v>155</v>
      </c>
      <c r="H12" s="79" t="s">
        <v>29</v>
      </c>
      <c r="I12" s="2" t="s">
        <v>25</v>
      </c>
      <c r="J12" s="2" t="s">
        <v>26</v>
      </c>
    </row>
    <row r="13" spans="1:10" ht="26.4" x14ac:dyDescent="0.3">
      <c r="A13" s="34" t="s">
        <v>354</v>
      </c>
      <c r="B13" s="83"/>
      <c r="C13" s="27"/>
      <c r="D13" s="42" t="s">
        <v>149</v>
      </c>
      <c r="E13" s="43"/>
      <c r="F13" s="24" t="s">
        <v>154</v>
      </c>
      <c r="G13" s="24" t="s">
        <v>156</v>
      </c>
      <c r="H13" s="79" t="s">
        <v>29</v>
      </c>
      <c r="I13" s="28" t="s">
        <v>25</v>
      </c>
      <c r="J13" s="28" t="s">
        <v>26</v>
      </c>
    </row>
    <row r="14" spans="1:10" ht="66" x14ac:dyDescent="0.3">
      <c r="A14" s="34" t="s">
        <v>355</v>
      </c>
      <c r="B14" s="88" t="s">
        <v>132</v>
      </c>
      <c r="C14" s="91" t="s">
        <v>187</v>
      </c>
      <c r="D14" s="19" t="s">
        <v>192</v>
      </c>
      <c r="E14" s="35"/>
      <c r="F14" s="34" t="s">
        <v>333</v>
      </c>
      <c r="G14" s="34" t="s">
        <v>334</v>
      </c>
      <c r="H14" s="79" t="s">
        <v>29</v>
      </c>
      <c r="I14" s="2" t="s">
        <v>24</v>
      </c>
      <c r="J14" s="28" t="s">
        <v>26</v>
      </c>
    </row>
    <row r="15" spans="1:10" ht="66" x14ac:dyDescent="0.3">
      <c r="A15" s="34" t="s">
        <v>356</v>
      </c>
      <c r="B15" s="88"/>
      <c r="C15" s="92"/>
      <c r="D15" s="19" t="s">
        <v>191</v>
      </c>
      <c r="E15" s="35"/>
      <c r="F15" s="34" t="s">
        <v>335</v>
      </c>
      <c r="G15" s="34" t="s">
        <v>334</v>
      </c>
      <c r="H15" s="79" t="s">
        <v>29</v>
      </c>
      <c r="I15" s="2" t="s">
        <v>24</v>
      </c>
      <c r="J15" s="28" t="s">
        <v>26</v>
      </c>
    </row>
    <row r="16" spans="1:10" ht="66" x14ac:dyDescent="0.3">
      <c r="A16" s="34" t="s">
        <v>357</v>
      </c>
      <c r="B16" s="88"/>
      <c r="C16" s="93"/>
      <c r="D16" s="19" t="s">
        <v>188</v>
      </c>
      <c r="E16" s="35"/>
      <c r="F16" s="34" t="s">
        <v>337</v>
      </c>
      <c r="G16" s="34" t="s">
        <v>336</v>
      </c>
      <c r="H16" s="79" t="s">
        <v>29</v>
      </c>
      <c r="I16" s="2" t="s">
        <v>24</v>
      </c>
      <c r="J16" s="28" t="s">
        <v>26</v>
      </c>
    </row>
    <row r="17" spans="1:10" ht="66" x14ac:dyDescent="0.3">
      <c r="A17" s="34" t="s">
        <v>358</v>
      </c>
      <c r="B17" s="88"/>
      <c r="C17" s="91" t="s">
        <v>338</v>
      </c>
      <c r="D17" s="19" t="s">
        <v>339</v>
      </c>
      <c r="E17" s="35"/>
      <c r="F17" s="34" t="s">
        <v>340</v>
      </c>
      <c r="G17" s="34" t="s">
        <v>334</v>
      </c>
      <c r="H17" s="79" t="s">
        <v>29</v>
      </c>
      <c r="I17" s="2" t="s">
        <v>24</v>
      </c>
      <c r="J17" s="28" t="s">
        <v>26</v>
      </c>
    </row>
    <row r="18" spans="1:10" ht="66" x14ac:dyDescent="0.3">
      <c r="A18" s="34" t="s">
        <v>359</v>
      </c>
      <c r="B18" s="88"/>
      <c r="C18" s="93"/>
      <c r="D18" s="19" t="s">
        <v>341</v>
      </c>
      <c r="E18" s="35"/>
      <c r="F18" s="34" t="s">
        <v>342</v>
      </c>
      <c r="G18" s="34" t="s">
        <v>334</v>
      </c>
      <c r="H18" s="79" t="s">
        <v>29</v>
      </c>
      <c r="I18" s="2" t="s">
        <v>24</v>
      </c>
      <c r="J18" s="28" t="s">
        <v>26</v>
      </c>
    </row>
    <row r="19" spans="1:10" ht="79.2" x14ac:dyDescent="0.3">
      <c r="A19" s="34" t="s">
        <v>360</v>
      </c>
      <c r="B19" s="88"/>
      <c r="C19" s="34" t="s">
        <v>343</v>
      </c>
      <c r="D19" s="19" t="s">
        <v>344</v>
      </c>
      <c r="E19" s="35"/>
      <c r="F19" s="34" t="s">
        <v>345</v>
      </c>
      <c r="G19" s="34" t="s">
        <v>346</v>
      </c>
      <c r="H19" s="79" t="s">
        <v>29</v>
      </c>
      <c r="I19" s="2" t="s">
        <v>24</v>
      </c>
      <c r="J19" s="28" t="s">
        <v>26</v>
      </c>
    </row>
    <row r="20" spans="1:10" ht="26.4" x14ac:dyDescent="0.3">
      <c r="A20" s="34" t="s">
        <v>361</v>
      </c>
      <c r="B20" s="88" t="s">
        <v>195</v>
      </c>
      <c r="C20" s="41"/>
      <c r="D20" s="44" t="s">
        <v>313</v>
      </c>
      <c r="E20" s="22"/>
      <c r="F20" s="22" t="s">
        <v>310</v>
      </c>
      <c r="G20" s="22" t="s">
        <v>311</v>
      </c>
      <c r="H20" s="79" t="s">
        <v>29</v>
      </c>
      <c r="I20" s="33" t="s">
        <v>206</v>
      </c>
      <c r="J20" s="33" t="s">
        <v>26</v>
      </c>
    </row>
    <row r="21" spans="1:10" ht="26.4" x14ac:dyDescent="0.3">
      <c r="A21" s="34" t="s">
        <v>362</v>
      </c>
      <c r="B21" s="88"/>
      <c r="C21" s="34"/>
      <c r="D21" s="39" t="s">
        <v>314</v>
      </c>
      <c r="E21" s="23"/>
      <c r="F21" s="23" t="s">
        <v>310</v>
      </c>
      <c r="G21" s="23" t="s">
        <v>312</v>
      </c>
      <c r="H21" s="79" t="s">
        <v>29</v>
      </c>
      <c r="I21" s="2" t="s">
        <v>206</v>
      </c>
      <c r="J21" s="2" t="s">
        <v>26</v>
      </c>
    </row>
    <row r="22" spans="1:10" ht="39.6" x14ac:dyDescent="0.3">
      <c r="A22" s="34" t="s">
        <v>363</v>
      </c>
      <c r="B22" s="88"/>
      <c r="C22" s="34"/>
      <c r="D22" s="39" t="s">
        <v>315</v>
      </c>
      <c r="E22" s="23"/>
      <c r="F22" s="23" t="s">
        <v>310</v>
      </c>
      <c r="G22" s="23" t="s">
        <v>316</v>
      </c>
      <c r="H22" s="79" t="s">
        <v>29</v>
      </c>
      <c r="I22" s="2" t="s">
        <v>206</v>
      </c>
      <c r="J22" s="2" t="s">
        <v>26</v>
      </c>
    </row>
    <row r="23" spans="1:10" ht="39.6" x14ac:dyDescent="0.3">
      <c r="A23" s="34" t="s">
        <v>364</v>
      </c>
      <c r="B23" s="88"/>
      <c r="C23" s="34"/>
      <c r="D23" s="39" t="s">
        <v>317</v>
      </c>
      <c r="E23" s="23"/>
      <c r="F23" s="23" t="s">
        <v>310</v>
      </c>
      <c r="G23" s="23" t="s">
        <v>318</v>
      </c>
      <c r="H23" s="79" t="s">
        <v>29</v>
      </c>
      <c r="I23" s="2" t="s">
        <v>206</v>
      </c>
      <c r="J23" s="2" t="s">
        <v>26</v>
      </c>
    </row>
    <row r="24" spans="1:10" ht="39.6" x14ac:dyDescent="0.3">
      <c r="A24" s="34" t="s">
        <v>365</v>
      </c>
      <c r="B24" s="88"/>
      <c r="C24" s="40"/>
      <c r="D24" s="39" t="s">
        <v>331</v>
      </c>
      <c r="E24" s="23"/>
      <c r="F24" s="23" t="s">
        <v>310</v>
      </c>
      <c r="G24" s="23" t="s">
        <v>332</v>
      </c>
      <c r="H24" s="79" t="s">
        <v>29</v>
      </c>
      <c r="I24" s="2" t="s">
        <v>206</v>
      </c>
      <c r="J24" s="2" t="s">
        <v>26</v>
      </c>
    </row>
    <row r="25" spans="1:10" ht="66" x14ac:dyDescent="0.3">
      <c r="A25" s="34" t="s">
        <v>366</v>
      </c>
      <c r="B25" s="88"/>
      <c r="C25" s="91" t="s">
        <v>319</v>
      </c>
      <c r="D25" s="39" t="s">
        <v>321</v>
      </c>
      <c r="E25" s="23" t="s">
        <v>309</v>
      </c>
      <c r="F25" s="23" t="s">
        <v>320</v>
      </c>
      <c r="G25" s="23" t="s">
        <v>326</v>
      </c>
      <c r="H25" s="79" t="s">
        <v>29</v>
      </c>
      <c r="I25" s="2" t="s">
        <v>206</v>
      </c>
      <c r="J25" s="2" t="s">
        <v>26</v>
      </c>
    </row>
    <row r="26" spans="1:10" ht="66" x14ac:dyDescent="0.3">
      <c r="A26" s="34" t="s">
        <v>367</v>
      </c>
      <c r="B26" s="88"/>
      <c r="C26" s="93"/>
      <c r="D26" s="39" t="s">
        <v>322</v>
      </c>
      <c r="E26" s="23" t="s">
        <v>324</v>
      </c>
      <c r="F26" s="23" t="s">
        <v>323</v>
      </c>
      <c r="G26" s="23" t="s">
        <v>325</v>
      </c>
      <c r="H26" s="79" t="s">
        <v>29</v>
      </c>
      <c r="I26" s="2" t="s">
        <v>206</v>
      </c>
      <c r="J26" s="2" t="s">
        <v>26</v>
      </c>
    </row>
    <row r="27" spans="1:10" ht="26.4" x14ac:dyDescent="0.3">
      <c r="A27" s="34" t="s">
        <v>368</v>
      </c>
      <c r="B27" s="88"/>
      <c r="C27" s="34" t="s">
        <v>327</v>
      </c>
      <c r="D27" s="39" t="s">
        <v>328</v>
      </c>
      <c r="E27" s="23" t="s">
        <v>309</v>
      </c>
      <c r="F27" s="23" t="s">
        <v>329</v>
      </c>
      <c r="G27" s="23" t="s">
        <v>330</v>
      </c>
      <c r="H27" s="79" t="s">
        <v>29</v>
      </c>
      <c r="I27" s="2" t="s">
        <v>206</v>
      </c>
      <c r="J27" s="2" t="s">
        <v>26</v>
      </c>
    </row>
    <row r="28" spans="1:10" ht="52.8" x14ac:dyDescent="0.3">
      <c r="A28" s="34" t="s">
        <v>369</v>
      </c>
      <c r="B28" s="88"/>
      <c r="C28" s="34"/>
      <c r="D28" s="39" t="s">
        <v>347</v>
      </c>
      <c r="E28" s="23"/>
      <c r="F28" s="23" t="s">
        <v>310</v>
      </c>
      <c r="G28" s="23" t="s">
        <v>348</v>
      </c>
      <c r="H28" s="79" t="s">
        <v>29</v>
      </c>
      <c r="I28" s="2" t="s">
        <v>206</v>
      </c>
      <c r="J28" s="2" t="s">
        <v>26</v>
      </c>
    </row>
  </sheetData>
  <mergeCells count="7">
    <mergeCell ref="B8:B9"/>
    <mergeCell ref="B10:B13"/>
    <mergeCell ref="C14:C16"/>
    <mergeCell ref="B20:B28"/>
    <mergeCell ref="C25:C26"/>
    <mergeCell ref="B14:B19"/>
    <mergeCell ref="C17:C18"/>
  </mergeCells>
  <dataValidations count="2">
    <dataValidation type="list" allowBlank="1" showInputMessage="1" showErrorMessage="1" prompt=" - " sqref="H8:H28">
      <formula1>"Pass,Fail,Untested,N/A"</formula1>
    </dataValidation>
    <dataValidation type="list" allowBlank="1" showInputMessage="1" showErrorMessage="1" prompt=" - " sqref="H7">
      <formula1>$L$8:$L$13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topLeftCell="E1" workbookViewId="0">
      <selection activeCell="A7" sqref="A7:J20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ht="26.4" x14ac:dyDescent="0.3">
      <c r="A1" s="47" t="s">
        <v>449</v>
      </c>
      <c r="B1" s="48" t="s">
        <v>457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3.2" customHeight="1" thickBot="1" x14ac:dyDescent="0.35">
      <c r="A4" s="59">
        <f>COUNTIF(H7:I993,"Pass")</f>
        <v>13</v>
      </c>
      <c r="B4" s="60">
        <f>COUNTIF(H7:I993,"Fail")</f>
        <v>0</v>
      </c>
      <c r="C4" s="60">
        <f>E4-D4-A4-B4</f>
        <v>0</v>
      </c>
      <c r="D4" s="61">
        <f>COUNTIF(H$8:I$994,"N/A")</f>
        <v>0</v>
      </c>
      <c r="E4" s="62">
        <f>COUNTA(A8:A997)</f>
        <v>13</v>
      </c>
    </row>
    <row r="5" spans="1:10" ht="13.2" customHeight="1" x14ac:dyDescent="0.3"/>
    <row r="6" spans="1:10" ht="13.2" customHeight="1" x14ac:dyDescent="0.3"/>
    <row r="7" spans="1:10" ht="13.2" customHeight="1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387</v>
      </c>
      <c r="B8" s="89" t="s">
        <v>130</v>
      </c>
      <c r="C8" s="35"/>
      <c r="D8" s="34" t="s">
        <v>370</v>
      </c>
      <c r="E8" s="34" t="s">
        <v>248</v>
      </c>
      <c r="F8" s="34" t="s">
        <v>372</v>
      </c>
      <c r="G8" s="36" t="s">
        <v>373</v>
      </c>
      <c r="H8" s="79" t="s">
        <v>29</v>
      </c>
      <c r="I8" s="2" t="s">
        <v>206</v>
      </c>
      <c r="J8" s="2" t="s">
        <v>26</v>
      </c>
    </row>
    <row r="9" spans="1:10" ht="52.8" x14ac:dyDescent="0.3">
      <c r="A9" s="34" t="s">
        <v>388</v>
      </c>
      <c r="B9" s="90"/>
      <c r="C9" s="35"/>
      <c r="D9" s="34" t="s">
        <v>371</v>
      </c>
      <c r="E9" s="34" t="s">
        <v>249</v>
      </c>
      <c r="F9" s="34" t="s">
        <v>372</v>
      </c>
      <c r="G9" s="36" t="s">
        <v>373</v>
      </c>
      <c r="H9" s="79" t="s">
        <v>29</v>
      </c>
      <c r="I9" s="2" t="s">
        <v>206</v>
      </c>
      <c r="J9" s="2"/>
    </row>
    <row r="10" spans="1:10" ht="26.4" x14ac:dyDescent="0.3">
      <c r="A10" s="34" t="s">
        <v>389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9" t="s">
        <v>29</v>
      </c>
      <c r="I10" s="33" t="s">
        <v>25</v>
      </c>
      <c r="J10" s="33" t="s">
        <v>26</v>
      </c>
    </row>
    <row r="11" spans="1:10" ht="26.4" x14ac:dyDescent="0.3">
      <c r="A11" s="34" t="s">
        <v>390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9" t="s">
        <v>29</v>
      </c>
      <c r="I11" s="2" t="s">
        <v>25</v>
      </c>
      <c r="J11" s="2" t="s">
        <v>26</v>
      </c>
    </row>
    <row r="12" spans="1:10" ht="26.4" x14ac:dyDescent="0.3">
      <c r="A12" s="34" t="s">
        <v>391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9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392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9" t="s">
        <v>29</v>
      </c>
      <c r="I13" s="2" t="s">
        <v>25</v>
      </c>
      <c r="J13" s="2" t="s">
        <v>26</v>
      </c>
    </row>
    <row r="14" spans="1:10" s="2" customFormat="1" ht="26.4" x14ac:dyDescent="0.3">
      <c r="A14" s="34" t="s">
        <v>393</v>
      </c>
      <c r="B14" s="88" t="s">
        <v>195</v>
      </c>
      <c r="C14" s="34"/>
      <c r="D14" s="34" t="s">
        <v>374</v>
      </c>
      <c r="E14" s="34"/>
      <c r="F14" s="34" t="s">
        <v>375</v>
      </c>
      <c r="G14" s="34" t="s">
        <v>376</v>
      </c>
      <c r="H14" s="79" t="s">
        <v>29</v>
      </c>
      <c r="I14" s="2" t="s">
        <v>206</v>
      </c>
      <c r="J14" s="2" t="s">
        <v>26</v>
      </c>
    </row>
    <row r="15" spans="1:10" ht="39.6" x14ac:dyDescent="0.3">
      <c r="A15" s="34" t="s">
        <v>394</v>
      </c>
      <c r="B15" s="88"/>
      <c r="C15" s="34"/>
      <c r="D15" s="39" t="s">
        <v>377</v>
      </c>
      <c r="E15" s="23"/>
      <c r="F15" s="34" t="s">
        <v>375</v>
      </c>
      <c r="G15" s="23" t="s">
        <v>378</v>
      </c>
      <c r="H15" s="79" t="s">
        <v>29</v>
      </c>
      <c r="I15" s="2" t="s">
        <v>206</v>
      </c>
      <c r="J15" s="2" t="s">
        <v>26</v>
      </c>
    </row>
    <row r="16" spans="1:10" ht="39.6" x14ac:dyDescent="0.3">
      <c r="A16" s="34" t="s">
        <v>395</v>
      </c>
      <c r="B16" s="88"/>
      <c r="C16" s="34"/>
      <c r="D16" s="39" t="s">
        <v>379</v>
      </c>
      <c r="E16" s="23"/>
      <c r="F16" s="34" t="s">
        <v>375</v>
      </c>
      <c r="G16" s="23" t="s">
        <v>380</v>
      </c>
      <c r="H16" s="79" t="s">
        <v>29</v>
      </c>
      <c r="I16" s="2" t="s">
        <v>206</v>
      </c>
      <c r="J16" s="2" t="s">
        <v>26</v>
      </c>
    </row>
    <row r="17" spans="1:10" ht="26.4" x14ac:dyDescent="0.3">
      <c r="A17" s="34" t="s">
        <v>396</v>
      </c>
      <c r="B17" s="88"/>
      <c r="C17" s="40"/>
      <c r="D17" s="39" t="s">
        <v>381</v>
      </c>
      <c r="E17" s="23"/>
      <c r="F17" s="34" t="s">
        <v>375</v>
      </c>
      <c r="G17" s="23" t="s">
        <v>382</v>
      </c>
      <c r="H17" s="79" t="s">
        <v>29</v>
      </c>
      <c r="I17" s="2" t="s">
        <v>206</v>
      </c>
      <c r="J17" s="2" t="s">
        <v>26</v>
      </c>
    </row>
    <row r="18" spans="1:10" ht="26.4" x14ac:dyDescent="0.3">
      <c r="A18" s="34" t="s">
        <v>397</v>
      </c>
      <c r="B18" s="88"/>
      <c r="C18" s="91" t="s">
        <v>383</v>
      </c>
      <c r="D18" s="39" t="s">
        <v>374</v>
      </c>
      <c r="E18" s="23" t="s">
        <v>384</v>
      </c>
      <c r="F18" s="23" t="s">
        <v>385</v>
      </c>
      <c r="G18" s="23" t="s">
        <v>376</v>
      </c>
      <c r="H18" s="79" t="s">
        <v>29</v>
      </c>
      <c r="I18" s="2" t="s">
        <v>206</v>
      </c>
      <c r="J18" s="2" t="s">
        <v>26</v>
      </c>
    </row>
    <row r="19" spans="1:10" ht="26.4" x14ac:dyDescent="0.3">
      <c r="A19" s="34" t="s">
        <v>398</v>
      </c>
      <c r="B19" s="88"/>
      <c r="C19" s="92"/>
      <c r="D19" s="39" t="s">
        <v>377</v>
      </c>
      <c r="E19" s="23" t="s">
        <v>384</v>
      </c>
      <c r="F19" s="23" t="s">
        <v>385</v>
      </c>
      <c r="G19" s="23" t="s">
        <v>386</v>
      </c>
      <c r="H19" s="79" t="s">
        <v>29</v>
      </c>
      <c r="I19" s="2" t="s">
        <v>206</v>
      </c>
      <c r="J19" s="2" t="s">
        <v>26</v>
      </c>
    </row>
    <row r="20" spans="1:10" ht="39.6" x14ac:dyDescent="0.3">
      <c r="A20" s="34" t="s">
        <v>399</v>
      </c>
      <c r="B20" s="88"/>
      <c r="C20" s="93"/>
      <c r="D20" s="39" t="s">
        <v>379</v>
      </c>
      <c r="E20" s="23" t="s">
        <v>384</v>
      </c>
      <c r="F20" s="23" t="s">
        <v>385</v>
      </c>
      <c r="G20" s="23" t="s">
        <v>380</v>
      </c>
      <c r="H20" s="79" t="s">
        <v>29</v>
      </c>
      <c r="I20" s="2" t="s">
        <v>206</v>
      </c>
      <c r="J20" s="2" t="s">
        <v>26</v>
      </c>
    </row>
  </sheetData>
  <mergeCells count="4">
    <mergeCell ref="B10:B13"/>
    <mergeCell ref="B14:B20"/>
    <mergeCell ref="C18:C20"/>
    <mergeCell ref="B8:B9"/>
  </mergeCells>
  <dataValidations count="2">
    <dataValidation type="list" allowBlank="1" showInputMessage="1" showErrorMessage="1" prompt=" - " sqref="H7">
      <formula1>$L$8:$L$13</formula1>
    </dataValidation>
    <dataValidation type="list" allowBlank="1" showInputMessage="1" showErrorMessage="1" prompt=" - " sqref="H8:H20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7" sqref="A7:J22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458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COUNTIF(H7:I993,"Pass")</f>
        <v>15</v>
      </c>
      <c r="B4" s="60">
        <f>COUNTIF(H7:I993,"Fail")</f>
        <v>0</v>
      </c>
      <c r="C4" s="60">
        <f>E4-D4-A4-B4</f>
        <v>0</v>
      </c>
      <c r="D4" s="61">
        <f>COUNTIF(H$8:I$994,"N/A")</f>
        <v>0</v>
      </c>
      <c r="E4" s="62">
        <f>COUNTA(A8:A997)</f>
        <v>15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433</v>
      </c>
      <c r="B8" s="89" t="s">
        <v>130</v>
      </c>
      <c r="C8" s="35"/>
      <c r="D8" s="34" t="s">
        <v>400</v>
      </c>
      <c r="E8" s="34" t="s">
        <v>248</v>
      </c>
      <c r="F8" s="34" t="s">
        <v>402</v>
      </c>
      <c r="G8" s="36" t="s">
        <v>403</v>
      </c>
      <c r="H8" s="79" t="s">
        <v>29</v>
      </c>
      <c r="I8" s="2" t="s">
        <v>206</v>
      </c>
      <c r="J8" s="2" t="s">
        <v>26</v>
      </c>
    </row>
    <row r="9" spans="1:10" ht="52.8" x14ac:dyDescent="0.3">
      <c r="A9" s="34" t="s">
        <v>434</v>
      </c>
      <c r="B9" s="90"/>
      <c r="C9" s="35"/>
      <c r="D9" s="34" t="s">
        <v>401</v>
      </c>
      <c r="E9" s="34" t="s">
        <v>249</v>
      </c>
      <c r="F9" s="34" t="s">
        <v>402</v>
      </c>
      <c r="G9" s="36" t="s">
        <v>403</v>
      </c>
      <c r="H9" s="79" t="s">
        <v>29</v>
      </c>
      <c r="I9" s="2" t="s">
        <v>206</v>
      </c>
      <c r="J9" s="2" t="s">
        <v>26</v>
      </c>
    </row>
    <row r="10" spans="1:10" ht="26.4" x14ac:dyDescent="0.3">
      <c r="A10" s="34" t="s">
        <v>435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9" t="s">
        <v>29</v>
      </c>
      <c r="I10" s="33" t="s">
        <v>25</v>
      </c>
      <c r="J10" s="33" t="s">
        <v>26</v>
      </c>
    </row>
    <row r="11" spans="1:10" ht="26.4" x14ac:dyDescent="0.3">
      <c r="A11" s="34" t="s">
        <v>436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9" t="s">
        <v>29</v>
      </c>
      <c r="I11" s="2" t="s">
        <v>25</v>
      </c>
      <c r="J11" s="2" t="s">
        <v>26</v>
      </c>
    </row>
    <row r="12" spans="1:10" ht="26.4" x14ac:dyDescent="0.3">
      <c r="A12" s="34" t="s">
        <v>437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9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438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9" t="s">
        <v>29</v>
      </c>
      <c r="I13" s="2" t="s">
        <v>25</v>
      </c>
      <c r="J13" s="2" t="s">
        <v>26</v>
      </c>
    </row>
    <row r="14" spans="1:10" s="2" customFormat="1" ht="39.6" x14ac:dyDescent="0.3">
      <c r="A14" s="34" t="s">
        <v>439</v>
      </c>
      <c r="B14" s="91" t="s">
        <v>132</v>
      </c>
      <c r="C14" s="91" t="s">
        <v>419</v>
      </c>
      <c r="D14" s="34" t="s">
        <v>404</v>
      </c>
      <c r="E14" s="34"/>
      <c r="F14" s="34" t="s">
        <v>405</v>
      </c>
      <c r="G14" s="34" t="s">
        <v>406</v>
      </c>
      <c r="H14" s="79" t="s">
        <v>29</v>
      </c>
      <c r="I14" s="2" t="s">
        <v>24</v>
      </c>
      <c r="J14" s="2" t="s">
        <v>26</v>
      </c>
    </row>
    <row r="15" spans="1:10" ht="39.6" x14ac:dyDescent="0.3">
      <c r="A15" s="34" t="s">
        <v>440</v>
      </c>
      <c r="B15" s="92"/>
      <c r="C15" s="92"/>
      <c r="D15" s="34" t="s">
        <v>407</v>
      </c>
      <c r="E15" s="23"/>
      <c r="F15" s="34" t="s">
        <v>408</v>
      </c>
      <c r="G15" s="34" t="s">
        <v>406</v>
      </c>
      <c r="H15" s="79" t="s">
        <v>29</v>
      </c>
      <c r="I15" s="2" t="s">
        <v>24</v>
      </c>
      <c r="J15" s="2" t="s">
        <v>26</v>
      </c>
    </row>
    <row r="16" spans="1:10" ht="39.6" x14ac:dyDescent="0.3">
      <c r="A16" s="34" t="s">
        <v>441</v>
      </c>
      <c r="B16" s="92"/>
      <c r="C16" s="92"/>
      <c r="D16" s="39" t="s">
        <v>409</v>
      </c>
      <c r="E16" s="23"/>
      <c r="F16" s="34" t="s">
        <v>410</v>
      </c>
      <c r="G16" s="34" t="s">
        <v>411</v>
      </c>
      <c r="H16" s="79" t="s">
        <v>29</v>
      </c>
      <c r="I16" s="2" t="s">
        <v>24</v>
      </c>
      <c r="J16" s="2" t="s">
        <v>26</v>
      </c>
    </row>
    <row r="17" spans="1:10" ht="39.6" x14ac:dyDescent="0.3">
      <c r="A17" s="34" t="s">
        <v>442</v>
      </c>
      <c r="B17" s="92"/>
      <c r="C17" s="92"/>
      <c r="D17" s="39" t="s">
        <v>412</v>
      </c>
      <c r="E17" s="23"/>
      <c r="F17" s="34" t="s">
        <v>410</v>
      </c>
      <c r="G17" s="34" t="s">
        <v>411</v>
      </c>
      <c r="H17" s="79" t="s">
        <v>29</v>
      </c>
      <c r="I17" s="2" t="s">
        <v>24</v>
      </c>
      <c r="J17" s="2" t="s">
        <v>26</v>
      </c>
    </row>
    <row r="18" spans="1:10" ht="39.6" x14ac:dyDescent="0.3">
      <c r="A18" s="34" t="s">
        <v>443</v>
      </c>
      <c r="B18" s="92"/>
      <c r="C18" s="92"/>
      <c r="D18" s="39" t="s">
        <v>413</v>
      </c>
      <c r="E18" s="23"/>
      <c r="F18" s="34" t="s">
        <v>414</v>
      </c>
      <c r="G18" s="34" t="s">
        <v>415</v>
      </c>
      <c r="H18" s="79" t="s">
        <v>29</v>
      </c>
      <c r="I18" s="2" t="s">
        <v>24</v>
      </c>
      <c r="J18" s="2" t="s">
        <v>26</v>
      </c>
    </row>
    <row r="19" spans="1:10" ht="26.4" x14ac:dyDescent="0.3">
      <c r="A19" s="34" t="s">
        <v>444</v>
      </c>
      <c r="B19" s="93"/>
      <c r="C19" s="93"/>
      <c r="D19" s="39" t="s">
        <v>416</v>
      </c>
      <c r="E19" s="23"/>
      <c r="F19" s="34" t="s">
        <v>417</v>
      </c>
      <c r="G19" s="34" t="s">
        <v>418</v>
      </c>
      <c r="H19" s="79" t="s">
        <v>29</v>
      </c>
      <c r="I19" s="2" t="s">
        <v>24</v>
      </c>
      <c r="J19" s="2" t="s">
        <v>26</v>
      </c>
    </row>
    <row r="20" spans="1:10" ht="39.6" x14ac:dyDescent="0.3">
      <c r="A20" s="34" t="s">
        <v>445</v>
      </c>
      <c r="B20" s="88" t="s">
        <v>195</v>
      </c>
      <c r="C20" s="91" t="s">
        <v>420</v>
      </c>
      <c r="D20" s="39" t="s">
        <v>421</v>
      </c>
      <c r="E20" s="23" t="s">
        <v>422</v>
      </c>
      <c r="F20" s="34" t="s">
        <v>423</v>
      </c>
      <c r="G20" s="45" t="s">
        <v>424</v>
      </c>
      <c r="H20" s="79" t="s">
        <v>29</v>
      </c>
      <c r="I20" s="2" t="s">
        <v>206</v>
      </c>
      <c r="J20" s="2" t="s">
        <v>26</v>
      </c>
    </row>
    <row r="21" spans="1:10" ht="26.4" x14ac:dyDescent="0.3">
      <c r="A21" s="34" t="s">
        <v>446</v>
      </c>
      <c r="B21" s="88"/>
      <c r="C21" s="92"/>
      <c r="D21" s="45" t="s">
        <v>425</v>
      </c>
      <c r="E21" s="23" t="s">
        <v>426</v>
      </c>
      <c r="F21" s="34" t="s">
        <v>427</v>
      </c>
      <c r="G21" s="23" t="s">
        <v>428</v>
      </c>
      <c r="H21" s="79" t="s">
        <v>29</v>
      </c>
      <c r="I21" s="2" t="s">
        <v>206</v>
      </c>
      <c r="J21" s="2" t="s">
        <v>26</v>
      </c>
    </row>
    <row r="22" spans="1:10" ht="26.4" x14ac:dyDescent="0.3">
      <c r="A22" s="34" t="s">
        <v>447</v>
      </c>
      <c r="B22" s="88"/>
      <c r="C22" s="93"/>
      <c r="D22" s="39" t="s">
        <v>429</v>
      </c>
      <c r="E22" s="23" t="s">
        <v>430</v>
      </c>
      <c r="F22" s="34" t="s">
        <v>431</v>
      </c>
      <c r="G22" s="23" t="s">
        <v>432</v>
      </c>
      <c r="H22" s="79" t="s">
        <v>29</v>
      </c>
      <c r="I22" s="2" t="s">
        <v>206</v>
      </c>
      <c r="J22" s="2" t="s">
        <v>26</v>
      </c>
    </row>
  </sheetData>
  <mergeCells count="6">
    <mergeCell ref="B8:B9"/>
    <mergeCell ref="B10:B13"/>
    <mergeCell ref="B20:B22"/>
    <mergeCell ref="B14:B19"/>
    <mergeCell ref="C14:C19"/>
    <mergeCell ref="C20:C22"/>
  </mergeCells>
  <dataValidations count="2">
    <dataValidation type="list" allowBlank="1" showInputMessage="1" showErrorMessage="1" prompt=" - " sqref="H8:H22">
      <formula1>"Pass,Fail,Untested,N/A"</formula1>
    </dataValidation>
    <dataValidation type="list" allowBlank="1" showInputMessage="1" showErrorMessage="1" prompt=" - " sqref="H7">
      <formula1>$L$8:$L$13</formula1>
    </dataValidation>
  </dataValidation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topLeftCell="A4" workbookViewId="0">
      <selection activeCell="D8" sqref="D8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459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COUNTIF(H7:I987,"Pass")</f>
        <v>9</v>
      </c>
      <c r="B4" s="60">
        <f>COUNTIF(H7:I987,"Fail")</f>
        <v>0</v>
      </c>
      <c r="C4" s="60">
        <f>E4-D4-A4-B4</f>
        <v>0</v>
      </c>
      <c r="D4" s="61">
        <f>COUNTIF(H$8:I$988,"N/A")</f>
        <v>0</v>
      </c>
      <c r="E4" s="62">
        <f>COUNTA(A8:A991)</f>
        <v>9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474</v>
      </c>
      <c r="B8" s="89" t="s">
        <v>130</v>
      </c>
      <c r="C8" s="35"/>
      <c r="D8" s="34" t="s">
        <v>460</v>
      </c>
      <c r="E8" s="34" t="s">
        <v>248</v>
      </c>
      <c r="F8" s="34" t="s">
        <v>461</v>
      </c>
      <c r="G8" s="36" t="s">
        <v>462</v>
      </c>
      <c r="H8" s="77" t="s">
        <v>29</v>
      </c>
      <c r="I8" s="2" t="s">
        <v>206</v>
      </c>
      <c r="J8" s="2" t="s">
        <v>26</v>
      </c>
    </row>
    <row r="9" spans="1:10" ht="52.8" x14ac:dyDescent="0.3">
      <c r="A9" s="34" t="s">
        <v>475</v>
      </c>
      <c r="B9" s="90"/>
      <c r="C9" s="35"/>
      <c r="D9" s="34" t="s">
        <v>463</v>
      </c>
      <c r="E9" s="34" t="s">
        <v>249</v>
      </c>
      <c r="F9" s="34" t="s">
        <v>402</v>
      </c>
      <c r="G9" s="36" t="s">
        <v>464</v>
      </c>
      <c r="H9" s="77" t="s">
        <v>29</v>
      </c>
      <c r="I9" s="2" t="s">
        <v>206</v>
      </c>
      <c r="J9" s="2" t="s">
        <v>26</v>
      </c>
    </row>
    <row r="10" spans="1:10" ht="26.4" x14ac:dyDescent="0.3">
      <c r="A10" s="34" t="s">
        <v>476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0" ht="26.4" x14ac:dyDescent="0.3">
      <c r="A11" s="34" t="s">
        <v>477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0" ht="26.4" x14ac:dyDescent="0.3">
      <c r="A12" s="34" t="s">
        <v>478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7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479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7" t="s">
        <v>29</v>
      </c>
      <c r="I13" s="2" t="s">
        <v>25</v>
      </c>
      <c r="J13" s="2" t="s">
        <v>26</v>
      </c>
    </row>
    <row r="14" spans="1:10" ht="39.6" x14ac:dyDescent="0.3">
      <c r="A14" s="34" t="s">
        <v>480</v>
      </c>
      <c r="B14" s="88" t="s">
        <v>195</v>
      </c>
      <c r="C14" s="91"/>
      <c r="D14" s="39" t="s">
        <v>465</v>
      </c>
      <c r="E14" s="23"/>
      <c r="F14" s="34" t="s">
        <v>466</v>
      </c>
      <c r="G14" s="45" t="s">
        <v>467</v>
      </c>
      <c r="H14" s="77" t="s">
        <v>29</v>
      </c>
      <c r="I14" s="2" t="s">
        <v>206</v>
      </c>
      <c r="J14" s="2" t="s">
        <v>26</v>
      </c>
    </row>
    <row r="15" spans="1:10" ht="39.6" x14ac:dyDescent="0.3">
      <c r="A15" s="34" t="s">
        <v>481</v>
      </c>
      <c r="B15" s="88"/>
      <c r="C15" s="92"/>
      <c r="D15" s="45" t="s">
        <v>468</v>
      </c>
      <c r="E15" s="23"/>
      <c r="F15" s="34" t="s">
        <v>469</v>
      </c>
      <c r="G15" s="23" t="s">
        <v>470</v>
      </c>
      <c r="H15" s="77" t="s">
        <v>29</v>
      </c>
      <c r="I15" s="2" t="s">
        <v>206</v>
      </c>
      <c r="J15" s="2" t="s">
        <v>26</v>
      </c>
    </row>
    <row r="16" spans="1:10" ht="39.6" x14ac:dyDescent="0.3">
      <c r="A16" s="34" t="s">
        <v>482</v>
      </c>
      <c r="B16" s="88"/>
      <c r="C16" s="93"/>
      <c r="D16" s="39" t="s">
        <v>471</v>
      </c>
      <c r="E16" s="23"/>
      <c r="F16" s="34" t="s">
        <v>472</v>
      </c>
      <c r="G16" s="23" t="s">
        <v>473</v>
      </c>
      <c r="H16" s="77" t="s">
        <v>29</v>
      </c>
      <c r="I16" s="2" t="s">
        <v>206</v>
      </c>
      <c r="J16" s="2" t="s">
        <v>26</v>
      </c>
    </row>
  </sheetData>
  <mergeCells count="4">
    <mergeCell ref="B10:B13"/>
    <mergeCell ref="B14:B16"/>
    <mergeCell ref="C14:C16"/>
    <mergeCell ref="B8:B9"/>
  </mergeCells>
  <dataValidations count="2">
    <dataValidation type="list" allowBlank="1" showInputMessage="1" showErrorMessage="1" prompt=" - " sqref="H7">
      <formula1>$L$8:$L$13</formula1>
    </dataValidation>
    <dataValidation type="list" allowBlank="1" showInputMessage="1" showErrorMessage="1" prompt=" - " sqref="H8:H16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4"/>
  <sheetViews>
    <sheetView topLeftCell="E25" workbookViewId="0">
      <selection activeCell="A7" sqref="A7:J24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511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COUNTIF(H7:I982,"Pass")</f>
        <v>17</v>
      </c>
      <c r="B4" s="60">
        <f>COUNTIF(H7:I982,"Fail")</f>
        <v>0</v>
      </c>
      <c r="C4" s="60">
        <f>E4-D4-A4-B4</f>
        <v>0</v>
      </c>
      <c r="D4" s="61">
        <f>COUNTIF(H$8:I$983,"N/A")</f>
        <v>0</v>
      </c>
      <c r="E4" s="62">
        <f>COUNTA(A8:A986)</f>
        <v>17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66" x14ac:dyDescent="0.3">
      <c r="A8" s="34" t="s">
        <v>517</v>
      </c>
      <c r="B8" s="63" t="s">
        <v>130</v>
      </c>
      <c r="C8" s="35"/>
      <c r="D8" s="34" t="s">
        <v>483</v>
      </c>
      <c r="E8" s="34" t="s">
        <v>248</v>
      </c>
      <c r="F8" s="34" t="s">
        <v>487</v>
      </c>
      <c r="G8" s="36" t="s">
        <v>485</v>
      </c>
      <c r="H8" s="77" t="s">
        <v>29</v>
      </c>
      <c r="I8" s="2" t="s">
        <v>206</v>
      </c>
      <c r="J8" s="2" t="s">
        <v>26</v>
      </c>
    </row>
    <row r="9" spans="1:10" ht="39.6" x14ac:dyDescent="0.3">
      <c r="A9" s="34" t="s">
        <v>518</v>
      </c>
      <c r="B9" s="64"/>
      <c r="C9" s="35"/>
      <c r="D9" s="34" t="s">
        <v>484</v>
      </c>
      <c r="E9" s="34" t="s">
        <v>249</v>
      </c>
      <c r="F9" s="34" t="s">
        <v>402</v>
      </c>
      <c r="G9" s="36" t="s">
        <v>486</v>
      </c>
      <c r="H9" s="77" t="s">
        <v>29</v>
      </c>
      <c r="I9" s="2" t="s">
        <v>206</v>
      </c>
      <c r="J9" s="2" t="s">
        <v>26</v>
      </c>
    </row>
    <row r="10" spans="1:10" ht="26.4" x14ac:dyDescent="0.3">
      <c r="A10" s="34" t="s">
        <v>519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0" ht="26.4" x14ac:dyDescent="0.3">
      <c r="A11" s="34" t="s">
        <v>520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0" ht="26.4" x14ac:dyDescent="0.3">
      <c r="A12" s="34" t="s">
        <v>521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7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522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7" t="s">
        <v>29</v>
      </c>
      <c r="I13" s="2" t="s">
        <v>25</v>
      </c>
      <c r="J13" s="2" t="s">
        <v>26</v>
      </c>
    </row>
    <row r="14" spans="1:10" ht="26.4" x14ac:dyDescent="0.3">
      <c r="A14" s="34" t="s">
        <v>523</v>
      </c>
      <c r="B14" s="91" t="s">
        <v>195</v>
      </c>
      <c r="C14" s="40"/>
      <c r="D14" s="39" t="s">
        <v>488</v>
      </c>
      <c r="E14" s="23"/>
      <c r="F14" s="34" t="s">
        <v>489</v>
      </c>
      <c r="G14" s="45" t="s">
        <v>490</v>
      </c>
      <c r="H14" s="77" t="s">
        <v>29</v>
      </c>
      <c r="I14" s="2" t="s">
        <v>206</v>
      </c>
      <c r="J14" s="2" t="s">
        <v>26</v>
      </c>
    </row>
    <row r="15" spans="1:10" ht="26.4" x14ac:dyDescent="0.3">
      <c r="A15" s="34" t="s">
        <v>524</v>
      </c>
      <c r="B15" s="92"/>
      <c r="C15" s="65"/>
      <c r="D15" s="45" t="s">
        <v>491</v>
      </c>
      <c r="E15" s="23"/>
      <c r="F15" s="34" t="s">
        <v>489</v>
      </c>
      <c r="G15" s="45" t="s">
        <v>492</v>
      </c>
      <c r="H15" s="77" t="s">
        <v>29</v>
      </c>
      <c r="I15" s="2" t="s">
        <v>206</v>
      </c>
      <c r="J15" s="2" t="s">
        <v>26</v>
      </c>
    </row>
    <row r="16" spans="1:10" ht="26.4" x14ac:dyDescent="0.3">
      <c r="A16" s="34" t="s">
        <v>525</v>
      </c>
      <c r="B16" s="92"/>
      <c r="C16" s="41"/>
      <c r="D16" s="45" t="s">
        <v>493</v>
      </c>
      <c r="E16" s="23"/>
      <c r="F16" s="34" t="s">
        <v>489</v>
      </c>
      <c r="G16" s="45" t="s">
        <v>496</v>
      </c>
      <c r="H16" s="77" t="s">
        <v>29</v>
      </c>
      <c r="I16" s="2" t="s">
        <v>206</v>
      </c>
      <c r="J16" s="2" t="s">
        <v>26</v>
      </c>
    </row>
    <row r="17" spans="1:10" ht="26.4" x14ac:dyDescent="0.3">
      <c r="A17" s="34" t="s">
        <v>526</v>
      </c>
      <c r="B17" s="92"/>
      <c r="C17" s="41"/>
      <c r="D17" s="45" t="s">
        <v>494</v>
      </c>
      <c r="E17" s="23"/>
      <c r="F17" s="34" t="s">
        <v>489</v>
      </c>
      <c r="G17" s="45" t="s">
        <v>497</v>
      </c>
      <c r="H17" s="77" t="s">
        <v>29</v>
      </c>
      <c r="I17" s="2" t="s">
        <v>206</v>
      </c>
      <c r="J17" s="2" t="s">
        <v>26</v>
      </c>
    </row>
    <row r="18" spans="1:10" ht="26.4" x14ac:dyDescent="0.3">
      <c r="A18" s="34" t="s">
        <v>527</v>
      </c>
      <c r="B18" s="92"/>
      <c r="C18" s="41"/>
      <c r="D18" s="45" t="s">
        <v>495</v>
      </c>
      <c r="E18" s="23"/>
      <c r="F18" s="34" t="s">
        <v>489</v>
      </c>
      <c r="G18" s="45" t="s">
        <v>498</v>
      </c>
      <c r="H18" s="77" t="s">
        <v>29</v>
      </c>
      <c r="I18" s="2" t="s">
        <v>206</v>
      </c>
      <c r="J18" s="2" t="s">
        <v>26</v>
      </c>
    </row>
    <row r="19" spans="1:10" ht="26.4" x14ac:dyDescent="0.3">
      <c r="A19" s="34" t="s">
        <v>528</v>
      </c>
      <c r="B19" s="92"/>
      <c r="C19" s="91" t="s">
        <v>511</v>
      </c>
      <c r="D19" s="39" t="s">
        <v>499</v>
      </c>
      <c r="E19" s="23"/>
      <c r="F19" s="34" t="s">
        <v>500</v>
      </c>
      <c r="G19" s="23" t="s">
        <v>501</v>
      </c>
      <c r="H19" s="77" t="s">
        <v>29</v>
      </c>
      <c r="I19" s="2" t="s">
        <v>206</v>
      </c>
      <c r="J19" s="2" t="s">
        <v>26</v>
      </c>
    </row>
    <row r="20" spans="1:10" ht="66" x14ac:dyDescent="0.3">
      <c r="A20" s="34" t="s">
        <v>529</v>
      </c>
      <c r="B20" s="92"/>
      <c r="C20" s="92"/>
      <c r="D20" s="39" t="s">
        <v>502</v>
      </c>
      <c r="E20" s="23"/>
      <c r="F20" s="34" t="s">
        <v>503</v>
      </c>
      <c r="G20" s="23" t="s">
        <v>504</v>
      </c>
      <c r="H20" s="77" t="s">
        <v>29</v>
      </c>
      <c r="I20" s="2" t="s">
        <v>206</v>
      </c>
      <c r="J20" s="2" t="s">
        <v>26</v>
      </c>
    </row>
    <row r="21" spans="1:10" ht="79.2" x14ac:dyDescent="0.3">
      <c r="A21" s="34" t="s">
        <v>530</v>
      </c>
      <c r="B21" s="92"/>
      <c r="C21" s="92"/>
      <c r="D21" s="39" t="s">
        <v>505</v>
      </c>
      <c r="E21" s="23"/>
      <c r="F21" s="34" t="s">
        <v>506</v>
      </c>
      <c r="G21" s="23" t="s">
        <v>507</v>
      </c>
      <c r="H21" s="77" t="s">
        <v>29</v>
      </c>
      <c r="I21" s="2" t="s">
        <v>206</v>
      </c>
      <c r="J21" s="2" t="s">
        <v>26</v>
      </c>
    </row>
    <row r="22" spans="1:10" ht="26.4" x14ac:dyDescent="0.3">
      <c r="A22" s="34" t="s">
        <v>531</v>
      </c>
      <c r="B22" s="92"/>
      <c r="C22" s="93"/>
      <c r="D22" s="39" t="s">
        <v>508</v>
      </c>
      <c r="E22" s="23"/>
      <c r="F22" s="34" t="s">
        <v>509</v>
      </c>
      <c r="G22" s="23" t="s">
        <v>510</v>
      </c>
      <c r="H22" s="77" t="s">
        <v>29</v>
      </c>
      <c r="I22" s="2" t="s">
        <v>206</v>
      </c>
      <c r="J22" s="2" t="s">
        <v>26</v>
      </c>
    </row>
    <row r="23" spans="1:10" ht="26.4" x14ac:dyDescent="0.3">
      <c r="A23" s="34" t="s">
        <v>532</v>
      </c>
      <c r="B23" s="92"/>
      <c r="C23" s="91" t="s">
        <v>512</v>
      </c>
      <c r="D23" s="39" t="s">
        <v>514</v>
      </c>
      <c r="E23" s="23"/>
      <c r="F23" s="34" t="s">
        <v>329</v>
      </c>
      <c r="G23" s="23" t="s">
        <v>513</v>
      </c>
      <c r="H23" s="77" t="s">
        <v>29</v>
      </c>
      <c r="I23" s="2" t="s">
        <v>206</v>
      </c>
      <c r="J23" s="2" t="s">
        <v>26</v>
      </c>
    </row>
    <row r="24" spans="1:10" ht="66" x14ac:dyDescent="0.3">
      <c r="A24" s="34" t="s">
        <v>533</v>
      </c>
      <c r="B24" s="93"/>
      <c r="C24" s="93"/>
      <c r="D24" s="39" t="s">
        <v>516</v>
      </c>
      <c r="E24" s="23"/>
      <c r="F24" s="34" t="s">
        <v>329</v>
      </c>
      <c r="G24" s="23" t="s">
        <v>515</v>
      </c>
      <c r="H24" s="77" t="s">
        <v>29</v>
      </c>
      <c r="I24" s="2" t="s">
        <v>206</v>
      </c>
      <c r="J24" s="2" t="s">
        <v>26</v>
      </c>
    </row>
  </sheetData>
  <mergeCells count="4">
    <mergeCell ref="B10:B13"/>
    <mergeCell ref="B14:B24"/>
    <mergeCell ref="C19:C22"/>
    <mergeCell ref="C23:C24"/>
  </mergeCells>
  <dataValidations count="2">
    <dataValidation type="list" allowBlank="1" showInputMessage="1" showErrorMessage="1" prompt=" - " sqref="H8:H24">
      <formula1>"Pass,Fail,Untested,N/A"</formula1>
    </dataValidation>
    <dataValidation type="list" allowBlank="1" showInputMessage="1" showErrorMessage="1" prompt=" - " sqref="H7">
      <formula1>$L$8:$L$13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workbookViewId="0">
      <selection activeCell="A7" sqref="A7:J18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ht="26.4" x14ac:dyDescent="0.3">
      <c r="A1" s="47" t="s">
        <v>449</v>
      </c>
      <c r="B1" s="48" t="s">
        <v>817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COUNTIF(H7:I973,"Pass")</f>
        <v>11</v>
      </c>
      <c r="B4" s="60">
        <f>COUNTIF(H7:I973,"Fail")</f>
        <v>0</v>
      </c>
      <c r="C4" s="60">
        <f>E4-D4-A4-B4</f>
        <v>0</v>
      </c>
      <c r="D4" s="61">
        <f>COUNTIF(H$8:I$974,"N/A")</f>
        <v>0</v>
      </c>
      <c r="E4" s="62">
        <f>COUNTA(A8:A977)</f>
        <v>11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822</v>
      </c>
      <c r="B8" s="63" t="s">
        <v>130</v>
      </c>
      <c r="C8" s="35"/>
      <c r="D8" s="34" t="s">
        <v>818</v>
      </c>
      <c r="E8" s="34" t="s">
        <v>248</v>
      </c>
      <c r="F8" s="34" t="s">
        <v>820</v>
      </c>
      <c r="G8" s="36" t="s">
        <v>821</v>
      </c>
      <c r="H8" s="77" t="s">
        <v>29</v>
      </c>
      <c r="I8" s="2" t="s">
        <v>206</v>
      </c>
      <c r="J8" s="2" t="s">
        <v>26</v>
      </c>
    </row>
    <row r="9" spans="1:10" ht="52.8" x14ac:dyDescent="0.3">
      <c r="A9" s="34" t="s">
        <v>823</v>
      </c>
      <c r="B9" s="64"/>
      <c r="C9" s="35"/>
      <c r="D9" s="34" t="s">
        <v>819</v>
      </c>
      <c r="E9" s="34" t="s">
        <v>249</v>
      </c>
      <c r="F9" s="34" t="s">
        <v>402</v>
      </c>
      <c r="G9" s="36" t="s">
        <v>821</v>
      </c>
      <c r="H9" s="77" t="s">
        <v>29</v>
      </c>
      <c r="I9" s="2" t="s">
        <v>206</v>
      </c>
      <c r="J9" s="2" t="s">
        <v>26</v>
      </c>
    </row>
    <row r="10" spans="1:10" ht="26.4" x14ac:dyDescent="0.3">
      <c r="A10" s="34" t="s">
        <v>824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0" ht="26.4" x14ac:dyDescent="0.3">
      <c r="A11" s="34" t="s">
        <v>825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0" ht="26.4" x14ac:dyDescent="0.3">
      <c r="A12" s="34" t="s">
        <v>826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7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827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7" t="s">
        <v>29</v>
      </c>
      <c r="I13" s="2" t="s">
        <v>25</v>
      </c>
      <c r="J13" s="2" t="s">
        <v>26</v>
      </c>
    </row>
    <row r="14" spans="1:10" ht="39.6" x14ac:dyDescent="0.3">
      <c r="A14" s="34" t="s">
        <v>828</v>
      </c>
      <c r="B14" s="91" t="s">
        <v>195</v>
      </c>
      <c r="C14" s="34"/>
      <c r="D14" s="39" t="s">
        <v>534</v>
      </c>
      <c r="E14" s="23"/>
      <c r="F14" s="34" t="s">
        <v>535</v>
      </c>
      <c r="G14" s="45" t="s">
        <v>536</v>
      </c>
      <c r="H14" s="77" t="s">
        <v>29</v>
      </c>
      <c r="I14" s="2" t="s">
        <v>206</v>
      </c>
      <c r="J14" s="2" t="s">
        <v>26</v>
      </c>
    </row>
    <row r="15" spans="1:10" ht="39.6" x14ac:dyDescent="0.3">
      <c r="A15" s="34" t="s">
        <v>829</v>
      </c>
      <c r="B15" s="92"/>
      <c r="C15" s="34"/>
      <c r="D15" s="39" t="s">
        <v>537</v>
      </c>
      <c r="E15" s="23"/>
      <c r="F15" s="34" t="s">
        <v>538</v>
      </c>
      <c r="G15" s="23" t="s">
        <v>539</v>
      </c>
      <c r="H15" s="77" t="s">
        <v>29</v>
      </c>
      <c r="I15" s="2" t="s">
        <v>206</v>
      </c>
      <c r="J15" s="2" t="s">
        <v>26</v>
      </c>
    </row>
    <row r="16" spans="1:10" ht="26.4" x14ac:dyDescent="0.3">
      <c r="A16" s="34" t="s">
        <v>830</v>
      </c>
      <c r="B16" s="92"/>
      <c r="C16" s="34"/>
      <c r="D16" s="39" t="s">
        <v>488</v>
      </c>
      <c r="E16" s="23"/>
      <c r="F16" s="34" t="s">
        <v>538</v>
      </c>
      <c r="G16" s="23" t="s">
        <v>542</v>
      </c>
      <c r="H16" s="77" t="s">
        <v>29</v>
      </c>
      <c r="I16" s="2" t="s">
        <v>206</v>
      </c>
      <c r="J16" s="2" t="s">
        <v>26</v>
      </c>
    </row>
    <row r="17" spans="1:10" x14ac:dyDescent="0.3">
      <c r="A17" s="34" t="s">
        <v>831</v>
      </c>
      <c r="B17" s="92"/>
      <c r="C17" s="34"/>
      <c r="D17" s="39" t="s">
        <v>540</v>
      </c>
      <c r="E17" s="23"/>
      <c r="F17" s="34" t="s">
        <v>538</v>
      </c>
      <c r="G17" s="23" t="s">
        <v>543</v>
      </c>
      <c r="H17" s="77" t="s">
        <v>29</v>
      </c>
      <c r="I17" s="2" t="s">
        <v>206</v>
      </c>
      <c r="J17" s="2" t="s">
        <v>26</v>
      </c>
    </row>
    <row r="18" spans="1:10" x14ac:dyDescent="0.3">
      <c r="A18" s="34" t="s">
        <v>832</v>
      </c>
      <c r="B18" s="93"/>
      <c r="C18" s="34"/>
      <c r="D18" s="39" t="s">
        <v>541</v>
      </c>
      <c r="E18" s="23"/>
      <c r="F18" s="34" t="s">
        <v>538</v>
      </c>
      <c r="G18" s="23" t="s">
        <v>544</v>
      </c>
      <c r="H18" s="77" t="s">
        <v>29</v>
      </c>
      <c r="I18" s="2" t="s">
        <v>206</v>
      </c>
      <c r="J18" s="2" t="s">
        <v>26</v>
      </c>
    </row>
  </sheetData>
  <mergeCells count="2">
    <mergeCell ref="B10:B13"/>
    <mergeCell ref="B14:B18"/>
  </mergeCells>
  <dataValidations count="2">
    <dataValidation type="list" allowBlank="1" showInputMessage="1" showErrorMessage="1" prompt=" - " sqref="H8:H18">
      <formula1>"Pass,Fail,Untested,N/A"</formula1>
    </dataValidation>
    <dataValidation type="list" allowBlank="1" showInputMessage="1" showErrorMessage="1" prompt=" - " sqref="H7">
      <formula1>$L$8:$L$13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workbookViewId="0">
      <selection activeCell="A7" sqref="A7:J16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ht="26.4" x14ac:dyDescent="0.3">
      <c r="A1" s="47" t="s">
        <v>449</v>
      </c>
      <c r="B1" s="48" t="s">
        <v>559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COUNTIF(H7:I971,"Pass")</f>
        <v>9</v>
      </c>
      <c r="B4" s="60">
        <f>COUNTIF(H7:I971,"Fail")</f>
        <v>0</v>
      </c>
      <c r="C4" s="60">
        <f>E4-D4-A4-B4</f>
        <v>0</v>
      </c>
      <c r="D4" s="61">
        <f>COUNTIF(H$8:I$972,"N/A")</f>
        <v>0</v>
      </c>
      <c r="E4" s="62">
        <f>COUNTA(A8:A975)</f>
        <v>9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34" t="s">
        <v>560</v>
      </c>
      <c r="B8" s="63" t="s">
        <v>130</v>
      </c>
      <c r="C8" s="35"/>
      <c r="D8" s="34" t="s">
        <v>545</v>
      </c>
      <c r="E8" s="34" t="s">
        <v>548</v>
      </c>
      <c r="F8" s="34" t="s">
        <v>547</v>
      </c>
      <c r="G8" s="36" t="s">
        <v>550</v>
      </c>
      <c r="H8" s="77" t="s">
        <v>29</v>
      </c>
      <c r="I8" s="2" t="s">
        <v>206</v>
      </c>
      <c r="J8" s="2" t="s">
        <v>26</v>
      </c>
    </row>
    <row r="9" spans="1:10" ht="52.8" x14ac:dyDescent="0.3">
      <c r="A9" s="34" t="s">
        <v>561</v>
      </c>
      <c r="B9" s="64"/>
      <c r="C9" s="35"/>
      <c r="D9" s="34" t="s">
        <v>546</v>
      </c>
      <c r="E9" s="34" t="s">
        <v>549</v>
      </c>
      <c r="F9" s="34" t="s">
        <v>547</v>
      </c>
      <c r="G9" s="36" t="s">
        <v>551</v>
      </c>
      <c r="H9" s="77" t="s">
        <v>29</v>
      </c>
      <c r="I9" s="2" t="s">
        <v>206</v>
      </c>
      <c r="J9" s="2" t="s">
        <v>26</v>
      </c>
    </row>
    <row r="10" spans="1:10" ht="26.4" x14ac:dyDescent="0.3">
      <c r="A10" s="34" t="s">
        <v>562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0" ht="26.4" x14ac:dyDescent="0.3">
      <c r="A11" s="34" t="s">
        <v>563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0" ht="26.4" x14ac:dyDescent="0.3">
      <c r="A12" s="34" t="s">
        <v>564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7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565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7" t="s">
        <v>29</v>
      </c>
      <c r="I13" s="2" t="s">
        <v>25</v>
      </c>
      <c r="J13" s="2" t="s">
        <v>26</v>
      </c>
    </row>
    <row r="14" spans="1:10" ht="52.8" x14ac:dyDescent="0.3">
      <c r="A14" s="34" t="s">
        <v>566</v>
      </c>
      <c r="B14" s="88" t="s">
        <v>195</v>
      </c>
      <c r="C14" s="34"/>
      <c r="D14" s="39" t="s">
        <v>553</v>
      </c>
      <c r="E14" s="23"/>
      <c r="F14" s="34" t="s">
        <v>547</v>
      </c>
      <c r="G14" s="45" t="s">
        <v>552</v>
      </c>
      <c r="H14" s="77" t="s">
        <v>29</v>
      </c>
      <c r="I14" s="2" t="s">
        <v>206</v>
      </c>
      <c r="J14" s="2" t="s">
        <v>26</v>
      </c>
    </row>
    <row r="15" spans="1:10" ht="39.6" x14ac:dyDescent="0.3">
      <c r="A15" s="34" t="s">
        <v>567</v>
      </c>
      <c r="B15" s="88"/>
      <c r="C15" s="34"/>
      <c r="D15" s="39" t="s">
        <v>554</v>
      </c>
      <c r="E15" s="23"/>
      <c r="F15" s="34" t="s">
        <v>555</v>
      </c>
      <c r="G15" s="23" t="s">
        <v>556</v>
      </c>
      <c r="H15" s="77" t="s">
        <v>29</v>
      </c>
      <c r="I15" s="2" t="s">
        <v>206</v>
      </c>
      <c r="J15" s="2" t="s">
        <v>26</v>
      </c>
    </row>
    <row r="16" spans="1:10" ht="52.8" x14ac:dyDescent="0.3">
      <c r="A16" s="34" t="s">
        <v>568</v>
      </c>
      <c r="B16" s="88"/>
      <c r="C16" s="34"/>
      <c r="D16" s="39" t="s">
        <v>557</v>
      </c>
      <c r="E16" s="23" t="s">
        <v>558</v>
      </c>
      <c r="F16" s="34" t="s">
        <v>547</v>
      </c>
      <c r="G16" s="23" t="s">
        <v>552</v>
      </c>
      <c r="H16" s="77" t="s">
        <v>29</v>
      </c>
      <c r="I16" s="2" t="s">
        <v>206</v>
      </c>
      <c r="J16" s="2" t="s">
        <v>26</v>
      </c>
    </row>
  </sheetData>
  <mergeCells count="2">
    <mergeCell ref="B10:B13"/>
    <mergeCell ref="B14:B16"/>
  </mergeCells>
  <dataValidations count="2">
    <dataValidation type="list" allowBlank="1" showInputMessage="1" showErrorMessage="1" prompt=" - " sqref="H7">
      <formula1>$L$8:$L$13</formula1>
    </dataValidation>
    <dataValidation type="list" allowBlank="1" showInputMessage="1" showErrorMessage="1" prompt=" - " sqref="H8:H16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"/>
  <sheetViews>
    <sheetView topLeftCell="F40" workbookViewId="0">
      <selection activeCell="A7" sqref="A7:J26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ht="26.4" x14ac:dyDescent="0.3">
      <c r="A1" s="47" t="s">
        <v>449</v>
      </c>
      <c r="B1" s="48" t="s">
        <v>614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COUNTIF(H7:I969,"Pass")</f>
        <v>19</v>
      </c>
      <c r="B4" s="60">
        <f>COUNTIF(H7:I969,"Fail")</f>
        <v>0</v>
      </c>
      <c r="C4" s="60">
        <f>E4-D4-A4-B4</f>
        <v>0</v>
      </c>
      <c r="D4" s="61">
        <f>COUNTIF(H$8:I$970,"N/A")</f>
        <v>0</v>
      </c>
      <c r="E4" s="62">
        <f>COUNTA(A8:A973)</f>
        <v>19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52.8" x14ac:dyDescent="0.3">
      <c r="A8" s="34" t="s">
        <v>618</v>
      </c>
      <c r="B8" s="63" t="s">
        <v>130</v>
      </c>
      <c r="C8" s="35"/>
      <c r="D8" s="34" t="s">
        <v>569</v>
      </c>
      <c r="E8" s="34" t="s">
        <v>548</v>
      </c>
      <c r="F8" s="34" t="s">
        <v>573</v>
      </c>
      <c r="G8" s="36" t="s">
        <v>574</v>
      </c>
      <c r="H8" s="77" t="s">
        <v>29</v>
      </c>
      <c r="I8" s="2" t="s">
        <v>206</v>
      </c>
      <c r="J8" s="2" t="s">
        <v>26</v>
      </c>
    </row>
    <row r="9" spans="1:10" ht="52.8" x14ac:dyDescent="0.3">
      <c r="A9" s="34" t="s">
        <v>619</v>
      </c>
      <c r="B9" s="64"/>
      <c r="C9" s="35"/>
      <c r="D9" s="34" t="s">
        <v>570</v>
      </c>
      <c r="E9" s="34" t="s">
        <v>549</v>
      </c>
      <c r="F9" s="34" t="s">
        <v>571</v>
      </c>
      <c r="G9" s="36" t="s">
        <v>572</v>
      </c>
      <c r="H9" s="77" t="s">
        <v>29</v>
      </c>
      <c r="I9" s="2" t="s">
        <v>206</v>
      </c>
      <c r="J9" s="2" t="s">
        <v>26</v>
      </c>
    </row>
    <row r="10" spans="1:10" ht="26.4" x14ac:dyDescent="0.3">
      <c r="A10" s="34" t="s">
        <v>620</v>
      </c>
      <c r="B10" s="83" t="s">
        <v>131</v>
      </c>
      <c r="C10" s="29"/>
      <c r="D10" s="30" t="s">
        <v>146</v>
      </c>
      <c r="E10" s="31"/>
      <c r="F10" s="30" t="s">
        <v>150</v>
      </c>
      <c r="G10" s="32" t="s">
        <v>151</v>
      </c>
      <c r="H10" s="77" t="s">
        <v>29</v>
      </c>
      <c r="I10" s="33" t="s">
        <v>25</v>
      </c>
      <c r="J10" s="33" t="s">
        <v>26</v>
      </c>
    </row>
    <row r="11" spans="1:10" ht="26.4" x14ac:dyDescent="0.3">
      <c r="A11" s="34" t="s">
        <v>621</v>
      </c>
      <c r="B11" s="83"/>
      <c r="C11" s="16"/>
      <c r="D11" s="19" t="s">
        <v>147</v>
      </c>
      <c r="E11" s="17"/>
      <c r="F11" s="22" t="s">
        <v>152</v>
      </c>
      <c r="G11" s="20" t="s">
        <v>151</v>
      </c>
      <c r="H11" s="77" t="s">
        <v>29</v>
      </c>
      <c r="I11" s="2" t="s">
        <v>25</v>
      </c>
      <c r="J11" s="2" t="s">
        <v>26</v>
      </c>
    </row>
    <row r="12" spans="1:10" ht="26.4" x14ac:dyDescent="0.3">
      <c r="A12" s="34" t="s">
        <v>622</v>
      </c>
      <c r="B12" s="83"/>
      <c r="C12" s="27"/>
      <c r="D12" s="42" t="s">
        <v>148</v>
      </c>
      <c r="E12" s="43"/>
      <c r="F12" s="24" t="s">
        <v>153</v>
      </c>
      <c r="G12" s="24" t="s">
        <v>155</v>
      </c>
      <c r="H12" s="77" t="s">
        <v>29</v>
      </c>
      <c r="I12" s="28" t="s">
        <v>25</v>
      </c>
      <c r="J12" s="28" t="s">
        <v>26</v>
      </c>
    </row>
    <row r="13" spans="1:10" s="2" customFormat="1" ht="26.4" x14ac:dyDescent="0.3">
      <c r="A13" s="34" t="s">
        <v>623</v>
      </c>
      <c r="B13" s="83"/>
      <c r="C13" s="35"/>
      <c r="D13" s="19" t="s">
        <v>149</v>
      </c>
      <c r="E13" s="35"/>
      <c r="F13" s="34" t="s">
        <v>154</v>
      </c>
      <c r="G13" s="34" t="s">
        <v>156</v>
      </c>
      <c r="H13" s="77" t="s">
        <v>29</v>
      </c>
      <c r="I13" s="2" t="s">
        <v>25</v>
      </c>
      <c r="J13" s="2" t="s">
        <v>26</v>
      </c>
    </row>
    <row r="14" spans="1:10" ht="79.2" x14ac:dyDescent="0.3">
      <c r="A14" s="34" t="s">
        <v>624</v>
      </c>
      <c r="B14" s="91" t="s">
        <v>132</v>
      </c>
      <c r="C14" s="91" t="s">
        <v>575</v>
      </c>
      <c r="D14" s="39" t="s">
        <v>576</v>
      </c>
      <c r="E14" s="23"/>
      <c r="F14" s="34" t="s">
        <v>577</v>
      </c>
      <c r="G14" s="45" t="s">
        <v>581</v>
      </c>
      <c r="H14" s="77" t="s">
        <v>29</v>
      </c>
      <c r="I14" s="2" t="s">
        <v>24</v>
      </c>
      <c r="J14" s="2" t="s">
        <v>26</v>
      </c>
    </row>
    <row r="15" spans="1:10" ht="79.2" x14ac:dyDescent="0.3">
      <c r="A15" s="34" t="s">
        <v>625</v>
      </c>
      <c r="B15" s="92"/>
      <c r="C15" s="92"/>
      <c r="D15" s="39" t="s">
        <v>578</v>
      </c>
      <c r="E15" s="23"/>
      <c r="F15" s="34" t="s">
        <v>579</v>
      </c>
      <c r="G15" s="45" t="s">
        <v>580</v>
      </c>
      <c r="H15" s="77" t="s">
        <v>29</v>
      </c>
      <c r="I15" s="2" t="s">
        <v>24</v>
      </c>
      <c r="J15" s="2" t="s">
        <v>26</v>
      </c>
    </row>
    <row r="16" spans="1:10" ht="79.2" x14ac:dyDescent="0.3">
      <c r="A16" s="34" t="s">
        <v>626</v>
      </c>
      <c r="B16" s="92"/>
      <c r="C16" s="93"/>
      <c r="D16" s="39" t="s">
        <v>582</v>
      </c>
      <c r="E16" s="23"/>
      <c r="F16" s="34" t="s">
        <v>583</v>
      </c>
      <c r="G16" s="45" t="s">
        <v>580</v>
      </c>
      <c r="H16" s="77" t="s">
        <v>29</v>
      </c>
      <c r="I16" s="2" t="s">
        <v>24</v>
      </c>
      <c r="J16" s="2" t="s">
        <v>26</v>
      </c>
    </row>
    <row r="17" spans="1:10" ht="79.2" x14ac:dyDescent="0.3">
      <c r="A17" s="34" t="s">
        <v>627</v>
      </c>
      <c r="B17" s="92"/>
      <c r="C17" s="91" t="s">
        <v>584</v>
      </c>
      <c r="D17" s="39" t="s">
        <v>585</v>
      </c>
      <c r="E17" s="23"/>
      <c r="F17" s="34" t="s">
        <v>588</v>
      </c>
      <c r="G17" s="45" t="s">
        <v>587</v>
      </c>
      <c r="H17" s="77" t="s">
        <v>29</v>
      </c>
      <c r="I17" s="2" t="s">
        <v>24</v>
      </c>
      <c r="J17" s="2" t="s">
        <v>26</v>
      </c>
    </row>
    <row r="18" spans="1:10" ht="79.2" x14ac:dyDescent="0.3">
      <c r="A18" s="34" t="s">
        <v>628</v>
      </c>
      <c r="B18" s="92"/>
      <c r="C18" s="93"/>
      <c r="D18" s="39" t="s">
        <v>589</v>
      </c>
      <c r="E18" s="23"/>
      <c r="F18" s="34" t="s">
        <v>586</v>
      </c>
      <c r="G18" s="23" t="s">
        <v>590</v>
      </c>
      <c r="H18" s="77" t="s">
        <v>29</v>
      </c>
      <c r="I18" s="2" t="s">
        <v>24</v>
      </c>
      <c r="J18" s="2" t="s">
        <v>26</v>
      </c>
    </row>
    <row r="19" spans="1:10" ht="92.4" x14ac:dyDescent="0.3">
      <c r="A19" s="34" t="s">
        <v>629</v>
      </c>
      <c r="B19" s="92"/>
      <c r="C19" s="91" t="s">
        <v>591</v>
      </c>
      <c r="D19" s="39" t="s">
        <v>592</v>
      </c>
      <c r="E19" s="23"/>
      <c r="F19" s="34" t="s">
        <v>598</v>
      </c>
      <c r="G19" s="23" t="s">
        <v>595</v>
      </c>
      <c r="H19" s="77" t="s">
        <v>29</v>
      </c>
      <c r="I19" s="2" t="s">
        <v>24</v>
      </c>
      <c r="J19" s="2" t="s">
        <v>26</v>
      </c>
    </row>
    <row r="20" spans="1:10" ht="79.2" x14ac:dyDescent="0.3">
      <c r="A20" s="34" t="s">
        <v>630</v>
      </c>
      <c r="B20" s="92"/>
      <c r="C20" s="92"/>
      <c r="D20" s="39" t="s">
        <v>594</v>
      </c>
      <c r="E20" s="23"/>
      <c r="F20" s="34" t="s">
        <v>599</v>
      </c>
      <c r="G20" s="23" t="s">
        <v>595</v>
      </c>
      <c r="H20" s="77" t="s">
        <v>29</v>
      </c>
      <c r="I20" s="2" t="s">
        <v>24</v>
      </c>
      <c r="J20" s="2" t="s">
        <v>26</v>
      </c>
    </row>
    <row r="21" spans="1:10" ht="79.2" x14ac:dyDescent="0.3">
      <c r="A21" s="34" t="s">
        <v>631</v>
      </c>
      <c r="B21" s="92"/>
      <c r="C21" s="92"/>
      <c r="D21" s="39" t="s">
        <v>596</v>
      </c>
      <c r="E21" s="23"/>
      <c r="F21" s="34" t="s">
        <v>600</v>
      </c>
      <c r="G21" s="23" t="s">
        <v>593</v>
      </c>
      <c r="H21" s="77" t="s">
        <v>29</v>
      </c>
      <c r="I21" s="2" t="s">
        <v>24</v>
      </c>
      <c r="J21" s="2" t="s">
        <v>26</v>
      </c>
    </row>
    <row r="22" spans="1:10" ht="79.2" x14ac:dyDescent="0.3">
      <c r="A22" s="34" t="s">
        <v>632</v>
      </c>
      <c r="B22" s="92"/>
      <c r="C22" s="92"/>
      <c r="D22" s="39" t="s">
        <v>597</v>
      </c>
      <c r="E22" s="23"/>
      <c r="F22" s="34" t="s">
        <v>601</v>
      </c>
      <c r="G22" s="23" t="s">
        <v>595</v>
      </c>
      <c r="H22" s="77" t="s">
        <v>29</v>
      </c>
      <c r="I22" s="2" t="s">
        <v>24</v>
      </c>
      <c r="J22" s="2" t="s">
        <v>26</v>
      </c>
    </row>
    <row r="23" spans="1:10" ht="92.4" x14ac:dyDescent="0.3">
      <c r="A23" s="34" t="s">
        <v>633</v>
      </c>
      <c r="B23" s="92"/>
      <c r="C23" s="93"/>
      <c r="D23" s="39" t="s">
        <v>602</v>
      </c>
      <c r="E23" s="23" t="s">
        <v>603</v>
      </c>
      <c r="F23" s="34" t="s">
        <v>604</v>
      </c>
      <c r="G23" s="45" t="s">
        <v>605</v>
      </c>
      <c r="H23" s="77" t="s">
        <v>29</v>
      </c>
      <c r="I23" s="2" t="s">
        <v>24</v>
      </c>
      <c r="J23" s="2" t="s">
        <v>26</v>
      </c>
    </row>
    <row r="24" spans="1:10" ht="66" x14ac:dyDescent="0.3">
      <c r="A24" s="34" t="s">
        <v>634</v>
      </c>
      <c r="B24" s="88" t="s">
        <v>195</v>
      </c>
      <c r="C24" s="95" t="s">
        <v>606</v>
      </c>
      <c r="D24" s="39" t="s">
        <v>607</v>
      </c>
      <c r="E24" s="23"/>
      <c r="F24" s="34" t="s">
        <v>608</v>
      </c>
      <c r="G24" s="45" t="s">
        <v>605</v>
      </c>
      <c r="H24" s="77" t="s">
        <v>29</v>
      </c>
      <c r="I24" s="2" t="s">
        <v>206</v>
      </c>
      <c r="J24" s="2" t="s">
        <v>26</v>
      </c>
    </row>
    <row r="25" spans="1:10" ht="92.4" x14ac:dyDescent="0.3">
      <c r="A25" s="34" t="s">
        <v>635</v>
      </c>
      <c r="B25" s="88"/>
      <c r="C25" s="96"/>
      <c r="D25" s="39" t="s">
        <v>609</v>
      </c>
      <c r="E25" s="23"/>
      <c r="F25" s="34" t="s">
        <v>610</v>
      </c>
      <c r="G25" s="45" t="s">
        <v>611</v>
      </c>
      <c r="H25" s="77" t="s">
        <v>29</v>
      </c>
      <c r="I25" s="2" t="s">
        <v>206</v>
      </c>
      <c r="J25" s="2" t="s">
        <v>26</v>
      </c>
    </row>
    <row r="26" spans="1:10" ht="52.8" x14ac:dyDescent="0.3">
      <c r="A26" s="34" t="s">
        <v>636</v>
      </c>
      <c r="B26" s="88"/>
      <c r="C26" s="97"/>
      <c r="D26" s="39" t="s">
        <v>612</v>
      </c>
      <c r="E26" s="23"/>
      <c r="F26" s="34" t="s">
        <v>613</v>
      </c>
      <c r="G26" s="23" t="s">
        <v>593</v>
      </c>
      <c r="H26" s="77" t="s">
        <v>29</v>
      </c>
      <c r="I26" s="2" t="s">
        <v>206</v>
      </c>
      <c r="J26" s="2" t="s">
        <v>26</v>
      </c>
    </row>
  </sheetData>
  <mergeCells count="7">
    <mergeCell ref="C14:C16"/>
    <mergeCell ref="C17:C18"/>
    <mergeCell ref="C19:C23"/>
    <mergeCell ref="C24:C26"/>
    <mergeCell ref="B10:B13"/>
    <mergeCell ref="B24:B26"/>
    <mergeCell ref="B14:B23"/>
  </mergeCells>
  <dataValidations count="2">
    <dataValidation type="list" allowBlank="1" showInputMessage="1" showErrorMessage="1" prompt=" - " sqref="H7">
      <formula1>$L$8:$L$13</formula1>
    </dataValidation>
    <dataValidation type="list" allowBlank="1" showInputMessage="1" showErrorMessage="1" prompt=" - " sqref="H8:H26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topLeftCell="E25" workbookViewId="0">
      <selection activeCell="G30" sqref="G30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615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COUNTIF(H7:I968,"Pass")</f>
        <v>25</v>
      </c>
      <c r="B4" s="60">
        <f>COUNTIF(H7:I968,"Fail")</f>
        <v>2</v>
      </c>
      <c r="C4" s="60">
        <f>E4-D4-A4-B4</f>
        <v>0</v>
      </c>
      <c r="D4" s="61">
        <f>COUNTIF(H$8:I$969,"N/A")</f>
        <v>0</v>
      </c>
      <c r="E4" s="62">
        <f>COUNTA(A8:A972)</f>
        <v>27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34" t="s">
        <v>693</v>
      </c>
      <c r="B8" s="35" t="s">
        <v>130</v>
      </c>
      <c r="C8" s="35"/>
      <c r="D8" s="34" t="s">
        <v>616</v>
      </c>
      <c r="E8" s="34" t="s">
        <v>617</v>
      </c>
      <c r="F8" s="34" t="s">
        <v>637</v>
      </c>
      <c r="G8" s="36" t="s">
        <v>638</v>
      </c>
      <c r="H8" s="77" t="s">
        <v>29</v>
      </c>
      <c r="I8" s="2" t="s">
        <v>206</v>
      </c>
      <c r="J8" s="2" t="s">
        <v>26</v>
      </c>
    </row>
    <row r="9" spans="1:10" ht="26.4" x14ac:dyDescent="0.3">
      <c r="A9" s="34" t="s">
        <v>694</v>
      </c>
      <c r="B9" s="83" t="s">
        <v>131</v>
      </c>
      <c r="C9" s="29"/>
      <c r="D9" s="30" t="s">
        <v>146</v>
      </c>
      <c r="E9" s="31"/>
      <c r="F9" s="30" t="s">
        <v>150</v>
      </c>
      <c r="G9" s="32" t="s">
        <v>151</v>
      </c>
      <c r="H9" s="77" t="s">
        <v>29</v>
      </c>
      <c r="I9" s="33" t="s">
        <v>25</v>
      </c>
      <c r="J9" s="33" t="s">
        <v>26</v>
      </c>
    </row>
    <row r="10" spans="1:10" ht="26.4" x14ac:dyDescent="0.3">
      <c r="A10" s="34" t="s">
        <v>695</v>
      </c>
      <c r="B10" s="83"/>
      <c r="C10" s="16"/>
      <c r="D10" s="19" t="s">
        <v>147</v>
      </c>
      <c r="E10" s="17"/>
      <c r="F10" s="22" t="s">
        <v>152</v>
      </c>
      <c r="G10" s="20" t="s">
        <v>151</v>
      </c>
      <c r="H10" s="77" t="s">
        <v>29</v>
      </c>
      <c r="I10" s="2" t="s">
        <v>25</v>
      </c>
      <c r="J10" s="2" t="s">
        <v>26</v>
      </c>
    </row>
    <row r="11" spans="1:10" ht="26.4" x14ac:dyDescent="0.3">
      <c r="A11" s="34" t="s">
        <v>696</v>
      </c>
      <c r="B11" s="83"/>
      <c r="C11" s="27"/>
      <c r="D11" s="42" t="s">
        <v>148</v>
      </c>
      <c r="E11" s="43"/>
      <c r="F11" s="24" t="s">
        <v>153</v>
      </c>
      <c r="G11" s="24" t="s">
        <v>155</v>
      </c>
      <c r="H11" s="77" t="s">
        <v>29</v>
      </c>
      <c r="I11" s="28" t="s">
        <v>25</v>
      </c>
      <c r="J11" s="28" t="s">
        <v>26</v>
      </c>
    </row>
    <row r="12" spans="1:10" s="2" customFormat="1" ht="26.4" x14ac:dyDescent="0.3">
      <c r="A12" s="34" t="s">
        <v>697</v>
      </c>
      <c r="B12" s="83"/>
      <c r="C12" s="35"/>
      <c r="D12" s="19" t="s">
        <v>149</v>
      </c>
      <c r="E12" s="35"/>
      <c r="F12" s="34" t="s">
        <v>154</v>
      </c>
      <c r="G12" s="34" t="s">
        <v>156</v>
      </c>
      <c r="H12" s="77" t="s">
        <v>29</v>
      </c>
      <c r="I12" s="2" t="s">
        <v>25</v>
      </c>
      <c r="J12" s="2" t="s">
        <v>26</v>
      </c>
    </row>
    <row r="13" spans="1:10" ht="52.8" x14ac:dyDescent="0.3">
      <c r="A13" s="34" t="s">
        <v>698</v>
      </c>
      <c r="B13" s="91" t="s">
        <v>132</v>
      </c>
      <c r="C13" s="91" t="s">
        <v>639</v>
      </c>
      <c r="D13" s="39" t="s">
        <v>640</v>
      </c>
      <c r="E13" s="23"/>
      <c r="F13" s="34" t="s">
        <v>641</v>
      </c>
      <c r="G13" s="45" t="s">
        <v>642</v>
      </c>
      <c r="H13" s="77" t="s">
        <v>29</v>
      </c>
      <c r="I13" s="2" t="s">
        <v>24</v>
      </c>
      <c r="J13" s="2" t="s">
        <v>26</v>
      </c>
    </row>
    <row r="14" spans="1:10" ht="52.8" x14ac:dyDescent="0.3">
      <c r="A14" s="34" t="s">
        <v>699</v>
      </c>
      <c r="B14" s="92"/>
      <c r="C14" s="92"/>
      <c r="D14" s="39" t="s">
        <v>643</v>
      </c>
      <c r="E14" s="23"/>
      <c r="F14" s="34" t="s">
        <v>644</v>
      </c>
      <c r="G14" s="45" t="s">
        <v>648</v>
      </c>
      <c r="H14" s="77" t="s">
        <v>29</v>
      </c>
      <c r="I14" s="2" t="s">
        <v>24</v>
      </c>
      <c r="J14" s="2" t="s">
        <v>26</v>
      </c>
    </row>
    <row r="15" spans="1:10" ht="52.8" x14ac:dyDescent="0.3">
      <c r="A15" s="34" t="s">
        <v>700</v>
      </c>
      <c r="B15" s="92"/>
      <c r="C15" s="92"/>
      <c r="D15" s="39" t="s">
        <v>645</v>
      </c>
      <c r="E15" s="23"/>
      <c r="F15" s="34" t="s">
        <v>646</v>
      </c>
      <c r="G15" s="45" t="s">
        <v>649</v>
      </c>
      <c r="H15" s="77" t="s">
        <v>29</v>
      </c>
      <c r="I15" s="2" t="s">
        <v>24</v>
      </c>
      <c r="J15" s="2" t="s">
        <v>26</v>
      </c>
    </row>
    <row r="16" spans="1:10" ht="52.8" x14ac:dyDescent="0.3">
      <c r="A16" s="34" t="s">
        <v>701</v>
      </c>
      <c r="B16" s="92"/>
      <c r="C16" s="92"/>
      <c r="D16" s="39" t="s">
        <v>647</v>
      </c>
      <c r="E16" s="23"/>
      <c r="F16" s="34" t="s">
        <v>652</v>
      </c>
      <c r="G16" s="45" t="s">
        <v>649</v>
      </c>
      <c r="H16" s="77" t="s">
        <v>29</v>
      </c>
      <c r="I16" s="2" t="s">
        <v>24</v>
      </c>
      <c r="J16" s="2" t="s">
        <v>26</v>
      </c>
    </row>
    <row r="17" spans="1:10" ht="52.8" x14ac:dyDescent="0.3">
      <c r="A17" s="34" t="s">
        <v>702</v>
      </c>
      <c r="B17" s="92"/>
      <c r="C17" s="92"/>
      <c r="D17" s="39" t="s">
        <v>650</v>
      </c>
      <c r="E17" s="23"/>
      <c r="F17" s="34" t="s">
        <v>653</v>
      </c>
      <c r="G17" s="45" t="s">
        <v>649</v>
      </c>
      <c r="H17" s="77" t="s">
        <v>29</v>
      </c>
      <c r="I17" s="2" t="s">
        <v>24</v>
      </c>
      <c r="J17" s="2" t="s">
        <v>26</v>
      </c>
    </row>
    <row r="18" spans="1:10" ht="66" x14ac:dyDescent="0.3">
      <c r="A18" s="34" t="s">
        <v>703</v>
      </c>
      <c r="B18" s="92"/>
      <c r="C18" s="92"/>
      <c r="D18" s="39" t="s">
        <v>651</v>
      </c>
      <c r="E18" s="23"/>
      <c r="F18" s="34" t="s">
        <v>654</v>
      </c>
      <c r="G18" s="45" t="s">
        <v>649</v>
      </c>
      <c r="H18" s="77" t="s">
        <v>29</v>
      </c>
      <c r="I18" s="2" t="s">
        <v>24</v>
      </c>
      <c r="J18" s="2" t="s">
        <v>26</v>
      </c>
    </row>
    <row r="19" spans="1:10" ht="52.8" x14ac:dyDescent="0.3">
      <c r="A19" s="34" t="s">
        <v>704</v>
      </c>
      <c r="B19" s="92"/>
      <c r="C19" s="92"/>
      <c r="D19" s="39" t="s">
        <v>655</v>
      </c>
      <c r="E19" s="23"/>
      <c r="F19" s="34" t="s">
        <v>656</v>
      </c>
      <c r="G19" s="45" t="s">
        <v>649</v>
      </c>
      <c r="H19" s="77" t="s">
        <v>29</v>
      </c>
      <c r="I19" s="2" t="s">
        <v>24</v>
      </c>
      <c r="J19" s="2" t="s">
        <v>26</v>
      </c>
    </row>
    <row r="20" spans="1:10" ht="52.8" x14ac:dyDescent="0.3">
      <c r="A20" s="34" t="s">
        <v>705</v>
      </c>
      <c r="B20" s="92"/>
      <c r="C20" s="92"/>
      <c r="D20" s="39" t="s">
        <v>657</v>
      </c>
      <c r="E20" s="23"/>
      <c r="F20" s="34" t="s">
        <v>658</v>
      </c>
      <c r="G20" s="45" t="s">
        <v>649</v>
      </c>
      <c r="H20" s="77" t="s">
        <v>29</v>
      </c>
      <c r="I20" s="2" t="s">
        <v>24</v>
      </c>
      <c r="J20" s="2" t="s">
        <v>26</v>
      </c>
    </row>
    <row r="21" spans="1:10" ht="52.8" x14ac:dyDescent="0.3">
      <c r="A21" s="34" t="s">
        <v>706</v>
      </c>
      <c r="B21" s="92"/>
      <c r="C21" s="92"/>
      <c r="D21" s="39" t="s">
        <v>659</v>
      </c>
      <c r="E21" s="23"/>
      <c r="F21" s="34" t="s">
        <v>660</v>
      </c>
      <c r="G21" s="45" t="s">
        <v>649</v>
      </c>
      <c r="H21" s="77" t="s">
        <v>29</v>
      </c>
      <c r="I21" s="2" t="s">
        <v>24</v>
      </c>
      <c r="J21" s="2" t="s">
        <v>26</v>
      </c>
    </row>
    <row r="22" spans="1:10" ht="52.8" x14ac:dyDescent="0.3">
      <c r="A22" s="34" t="s">
        <v>707</v>
      </c>
      <c r="B22" s="92"/>
      <c r="C22" s="93"/>
      <c r="D22" s="39" t="s">
        <v>661</v>
      </c>
      <c r="E22" s="23"/>
      <c r="F22" s="34" t="s">
        <v>662</v>
      </c>
      <c r="G22" s="45" t="s">
        <v>649</v>
      </c>
      <c r="H22" s="77" t="s">
        <v>29</v>
      </c>
      <c r="I22" s="2" t="s">
        <v>24</v>
      </c>
      <c r="J22" s="2" t="s">
        <v>26</v>
      </c>
    </row>
    <row r="23" spans="1:10" ht="39.6" x14ac:dyDescent="0.3">
      <c r="A23" s="34" t="s">
        <v>708</v>
      </c>
      <c r="B23" s="92"/>
      <c r="C23" s="95" t="s">
        <v>663</v>
      </c>
      <c r="D23" s="39" t="s">
        <v>669</v>
      </c>
      <c r="E23" s="23"/>
      <c r="F23" s="34" t="s">
        <v>666</v>
      </c>
      <c r="G23" s="45" t="s">
        <v>664</v>
      </c>
      <c r="H23" s="77" t="s">
        <v>29</v>
      </c>
      <c r="I23" s="2" t="s">
        <v>206</v>
      </c>
      <c r="J23" s="2" t="s">
        <v>26</v>
      </c>
    </row>
    <row r="24" spans="1:10" ht="39.6" x14ac:dyDescent="0.3">
      <c r="A24" s="34" t="s">
        <v>709</v>
      </c>
      <c r="B24" s="92"/>
      <c r="C24" s="96"/>
      <c r="D24" s="39" t="s">
        <v>665</v>
      </c>
      <c r="E24" s="23"/>
      <c r="F24" s="34" t="s">
        <v>667</v>
      </c>
      <c r="G24" s="45" t="s">
        <v>664</v>
      </c>
      <c r="H24" s="77" t="s">
        <v>29</v>
      </c>
      <c r="I24" s="2" t="s">
        <v>206</v>
      </c>
      <c r="J24" s="2" t="s">
        <v>26</v>
      </c>
    </row>
    <row r="25" spans="1:10" ht="39.6" x14ac:dyDescent="0.3">
      <c r="A25" s="34" t="s">
        <v>710</v>
      </c>
      <c r="B25" s="92"/>
      <c r="C25" s="96"/>
      <c r="D25" s="39" t="s">
        <v>670</v>
      </c>
      <c r="E25" s="23"/>
      <c r="F25" s="34" t="s">
        <v>668</v>
      </c>
      <c r="G25" s="45" t="s">
        <v>642</v>
      </c>
      <c r="H25" s="77" t="s">
        <v>29</v>
      </c>
      <c r="I25" s="2" t="s">
        <v>206</v>
      </c>
      <c r="J25" s="2" t="s">
        <v>26</v>
      </c>
    </row>
    <row r="26" spans="1:10" s="69" customFormat="1" ht="39.6" x14ac:dyDescent="0.3">
      <c r="A26" s="34" t="s">
        <v>711</v>
      </c>
      <c r="B26" s="93"/>
      <c r="C26" s="97"/>
      <c r="D26" s="67" t="s">
        <v>671</v>
      </c>
      <c r="E26" s="68"/>
      <c r="F26" s="34" t="s">
        <v>672</v>
      </c>
      <c r="G26" s="45" t="s">
        <v>648</v>
      </c>
      <c r="H26" s="77" t="s">
        <v>29</v>
      </c>
      <c r="I26" s="2" t="s">
        <v>206</v>
      </c>
      <c r="J26" s="2" t="s">
        <v>26</v>
      </c>
    </row>
    <row r="27" spans="1:10" ht="26.4" x14ac:dyDescent="0.3">
      <c r="A27" s="34" t="s">
        <v>712</v>
      </c>
      <c r="B27" s="91" t="s">
        <v>195</v>
      </c>
      <c r="C27" s="95" t="s">
        <v>673</v>
      </c>
      <c r="D27" s="44" t="s">
        <v>277</v>
      </c>
      <c r="E27" s="22"/>
      <c r="F27" s="41" t="s">
        <v>674</v>
      </c>
      <c r="G27" s="66" t="s">
        <v>675</v>
      </c>
      <c r="H27" s="77" t="s">
        <v>29</v>
      </c>
      <c r="I27" s="33" t="s">
        <v>206</v>
      </c>
      <c r="J27" s="33" t="s">
        <v>26</v>
      </c>
    </row>
    <row r="28" spans="1:10" ht="26.4" x14ac:dyDescent="0.3">
      <c r="A28" s="34" t="s">
        <v>713</v>
      </c>
      <c r="B28" s="92"/>
      <c r="C28" s="96"/>
      <c r="D28" s="39" t="s">
        <v>676</v>
      </c>
      <c r="E28" s="23"/>
      <c r="F28" s="34" t="s">
        <v>472</v>
      </c>
      <c r="G28" s="23" t="s">
        <v>677</v>
      </c>
      <c r="H28" s="77" t="s">
        <v>29</v>
      </c>
      <c r="I28" s="2" t="s">
        <v>206</v>
      </c>
      <c r="J28" s="2" t="s">
        <v>26</v>
      </c>
    </row>
    <row r="29" spans="1:10" ht="39.6" x14ac:dyDescent="0.3">
      <c r="A29" s="34" t="s">
        <v>714</v>
      </c>
      <c r="B29" s="92"/>
      <c r="C29" s="97"/>
      <c r="D29" s="39" t="s">
        <v>678</v>
      </c>
      <c r="E29" s="23"/>
      <c r="F29" s="34" t="s">
        <v>272</v>
      </c>
      <c r="G29" s="45" t="s">
        <v>679</v>
      </c>
      <c r="H29" s="80" t="s">
        <v>30</v>
      </c>
      <c r="I29" s="2" t="s">
        <v>206</v>
      </c>
      <c r="J29" s="2" t="s">
        <v>26</v>
      </c>
    </row>
    <row r="30" spans="1:10" x14ac:dyDescent="0.3">
      <c r="A30" s="34" t="s">
        <v>715</v>
      </c>
      <c r="B30" s="92"/>
      <c r="C30" s="95" t="s">
        <v>680</v>
      </c>
      <c r="D30" s="39" t="s">
        <v>681</v>
      </c>
      <c r="E30" s="23"/>
      <c r="F30" s="34" t="s">
        <v>833</v>
      </c>
      <c r="G30" s="45" t="s">
        <v>683</v>
      </c>
      <c r="H30" s="80" t="s">
        <v>30</v>
      </c>
      <c r="I30" s="2" t="s">
        <v>206</v>
      </c>
      <c r="J30" s="2" t="s">
        <v>26</v>
      </c>
    </row>
    <row r="31" spans="1:10" x14ac:dyDescent="0.3">
      <c r="A31" s="34" t="s">
        <v>716</v>
      </c>
      <c r="B31" s="92"/>
      <c r="C31" s="96"/>
      <c r="D31" s="39" t="s">
        <v>684</v>
      </c>
      <c r="E31" s="23"/>
      <c r="F31" s="34" t="s">
        <v>685</v>
      </c>
      <c r="G31" s="23" t="s">
        <v>686</v>
      </c>
      <c r="H31" s="77" t="s">
        <v>29</v>
      </c>
      <c r="I31" s="2" t="s">
        <v>206</v>
      </c>
      <c r="J31" s="2" t="s">
        <v>26</v>
      </c>
    </row>
    <row r="32" spans="1:10" x14ac:dyDescent="0.3">
      <c r="A32" s="34" t="s">
        <v>717</v>
      </c>
      <c r="B32" s="92"/>
      <c r="C32" s="96"/>
      <c r="D32" s="39" t="s">
        <v>687</v>
      </c>
      <c r="E32" s="23"/>
      <c r="F32" s="34" t="s">
        <v>688</v>
      </c>
      <c r="G32" s="23" t="s">
        <v>686</v>
      </c>
      <c r="H32" s="77" t="s">
        <v>29</v>
      </c>
      <c r="I32" s="2" t="s">
        <v>206</v>
      </c>
      <c r="J32" s="2" t="s">
        <v>26</v>
      </c>
    </row>
    <row r="33" spans="1:10" x14ac:dyDescent="0.3">
      <c r="A33" s="34" t="s">
        <v>718</v>
      </c>
      <c r="B33" s="92"/>
      <c r="C33" s="96"/>
      <c r="D33" s="39" t="s">
        <v>689</v>
      </c>
      <c r="E33" s="23"/>
      <c r="F33" s="34" t="s">
        <v>690</v>
      </c>
      <c r="G33" s="45" t="s">
        <v>686</v>
      </c>
      <c r="H33" s="77" t="s">
        <v>29</v>
      </c>
      <c r="I33" s="2" t="s">
        <v>206</v>
      </c>
      <c r="J33" s="2" t="s">
        <v>26</v>
      </c>
    </row>
    <row r="34" spans="1:10" x14ac:dyDescent="0.3">
      <c r="A34" s="34" t="s">
        <v>719</v>
      </c>
      <c r="B34" s="93"/>
      <c r="C34" s="97"/>
      <c r="D34" s="39" t="s">
        <v>691</v>
      </c>
      <c r="E34" s="23"/>
      <c r="F34" s="34" t="s">
        <v>692</v>
      </c>
      <c r="G34" s="45" t="s">
        <v>686</v>
      </c>
      <c r="H34" s="77" t="s">
        <v>29</v>
      </c>
      <c r="I34" s="2" t="s">
        <v>206</v>
      </c>
      <c r="J34" s="2" t="s">
        <v>26</v>
      </c>
    </row>
  </sheetData>
  <mergeCells count="7">
    <mergeCell ref="B9:B12"/>
    <mergeCell ref="C13:C22"/>
    <mergeCell ref="B27:B34"/>
    <mergeCell ref="C30:C34"/>
    <mergeCell ref="C23:C26"/>
    <mergeCell ref="B13:B26"/>
    <mergeCell ref="C27:C29"/>
  </mergeCells>
  <dataValidations count="2">
    <dataValidation type="list" allowBlank="1" showInputMessage="1" showErrorMessage="1" prompt=" - " sqref="H8:H34">
      <formula1>"Pass,Fail,Untested,N/A"</formula1>
    </dataValidation>
    <dataValidation type="list" allowBlank="1" showInputMessage="1" showErrorMessage="1" prompt=" - " sqref="H7">
      <formula1>$L$8:$L$12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topLeftCell="E16" workbookViewId="0">
      <selection activeCell="D16" sqref="D16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720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COUNTIF(H7:I961,"Pass")</f>
        <v>19</v>
      </c>
      <c r="B4" s="60">
        <f>COUNTIF(H7:I961,"Fail")</f>
        <v>1</v>
      </c>
      <c r="C4" s="60">
        <f>E4-D4-A4-B4</f>
        <v>0</v>
      </c>
      <c r="D4" s="61">
        <f>COUNTIF(H$8:I$962,"N/A")</f>
        <v>0</v>
      </c>
      <c r="E4" s="62">
        <f>COUNTA(A8:A965)</f>
        <v>20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34" t="s">
        <v>745</v>
      </c>
      <c r="B8" s="35" t="s">
        <v>130</v>
      </c>
      <c r="C8" s="35"/>
      <c r="D8" s="34" t="s">
        <v>721</v>
      </c>
      <c r="E8" s="34" t="s">
        <v>617</v>
      </c>
      <c r="F8" s="34" t="s">
        <v>722</v>
      </c>
      <c r="G8" s="36" t="s">
        <v>723</v>
      </c>
      <c r="H8" s="77" t="s">
        <v>29</v>
      </c>
      <c r="I8" s="2" t="s">
        <v>206</v>
      </c>
      <c r="J8" s="2" t="s">
        <v>26</v>
      </c>
    </row>
    <row r="9" spans="1:10" ht="26.4" x14ac:dyDescent="0.3">
      <c r="A9" s="34" t="s">
        <v>746</v>
      </c>
      <c r="B9" s="83" t="s">
        <v>131</v>
      </c>
      <c r="C9" s="29"/>
      <c r="D9" s="30" t="s">
        <v>146</v>
      </c>
      <c r="E9" s="31"/>
      <c r="F9" s="30" t="s">
        <v>150</v>
      </c>
      <c r="G9" s="32" t="s">
        <v>151</v>
      </c>
      <c r="H9" s="77" t="s">
        <v>29</v>
      </c>
      <c r="I9" s="33" t="s">
        <v>25</v>
      </c>
      <c r="J9" s="33" t="s">
        <v>26</v>
      </c>
    </row>
    <row r="10" spans="1:10" ht="26.4" x14ac:dyDescent="0.3">
      <c r="A10" s="34" t="s">
        <v>747</v>
      </c>
      <c r="B10" s="83"/>
      <c r="C10" s="16"/>
      <c r="D10" s="19" t="s">
        <v>147</v>
      </c>
      <c r="E10" s="17"/>
      <c r="F10" s="22" t="s">
        <v>152</v>
      </c>
      <c r="G10" s="20" t="s">
        <v>151</v>
      </c>
      <c r="H10" s="77" t="s">
        <v>29</v>
      </c>
      <c r="I10" s="2" t="s">
        <v>25</v>
      </c>
      <c r="J10" s="2" t="s">
        <v>26</v>
      </c>
    </row>
    <row r="11" spans="1:10" ht="26.4" x14ac:dyDescent="0.3">
      <c r="A11" s="34" t="s">
        <v>748</v>
      </c>
      <c r="B11" s="83"/>
      <c r="C11" s="27"/>
      <c r="D11" s="42" t="s">
        <v>148</v>
      </c>
      <c r="E11" s="43"/>
      <c r="F11" s="24" t="s">
        <v>153</v>
      </c>
      <c r="G11" s="24" t="s">
        <v>155</v>
      </c>
      <c r="H11" s="77" t="s">
        <v>29</v>
      </c>
      <c r="I11" s="28" t="s">
        <v>25</v>
      </c>
      <c r="J11" s="28" t="s">
        <v>26</v>
      </c>
    </row>
    <row r="12" spans="1:10" s="2" customFormat="1" ht="26.4" x14ac:dyDescent="0.3">
      <c r="A12" s="34" t="s">
        <v>749</v>
      </c>
      <c r="B12" s="83"/>
      <c r="C12" s="35"/>
      <c r="D12" s="19" t="s">
        <v>149</v>
      </c>
      <c r="E12" s="35"/>
      <c r="F12" s="34" t="s">
        <v>154</v>
      </c>
      <c r="G12" s="34" t="s">
        <v>156</v>
      </c>
      <c r="H12" s="77" t="s">
        <v>29</v>
      </c>
      <c r="I12" s="2" t="s">
        <v>25</v>
      </c>
      <c r="J12" s="2" t="s">
        <v>26</v>
      </c>
    </row>
    <row r="13" spans="1:10" ht="52.8" x14ac:dyDescent="0.3">
      <c r="A13" s="34" t="s">
        <v>750</v>
      </c>
      <c r="B13" s="91" t="s">
        <v>132</v>
      </c>
      <c r="C13" s="91" t="s">
        <v>724</v>
      </c>
      <c r="D13" s="39" t="s">
        <v>725</v>
      </c>
      <c r="E13" s="23"/>
      <c r="F13" s="34" t="s">
        <v>726</v>
      </c>
      <c r="G13" s="45" t="s">
        <v>727</v>
      </c>
      <c r="H13" s="77" t="s">
        <v>29</v>
      </c>
      <c r="I13" s="2" t="s">
        <v>24</v>
      </c>
      <c r="J13" s="2" t="s">
        <v>26</v>
      </c>
    </row>
    <row r="14" spans="1:10" ht="52.8" x14ac:dyDescent="0.3">
      <c r="A14" s="34" t="s">
        <v>751</v>
      </c>
      <c r="B14" s="92"/>
      <c r="C14" s="92"/>
      <c r="D14" s="39" t="s">
        <v>728</v>
      </c>
      <c r="E14" s="23"/>
      <c r="F14" s="34" t="s">
        <v>729</v>
      </c>
      <c r="G14" s="45" t="s">
        <v>730</v>
      </c>
      <c r="H14" s="77" t="s">
        <v>29</v>
      </c>
      <c r="I14" s="2" t="s">
        <v>24</v>
      </c>
      <c r="J14" s="2" t="s">
        <v>26</v>
      </c>
    </row>
    <row r="15" spans="1:10" ht="52.8" x14ac:dyDescent="0.3">
      <c r="A15" s="34" t="s">
        <v>752</v>
      </c>
      <c r="B15" s="92"/>
      <c r="C15" s="92"/>
      <c r="D15" s="39" t="s">
        <v>731</v>
      </c>
      <c r="E15" s="23"/>
      <c r="F15" s="34" t="s">
        <v>732</v>
      </c>
      <c r="G15" s="45" t="s">
        <v>730</v>
      </c>
      <c r="H15" s="77" t="s">
        <v>29</v>
      </c>
      <c r="I15" s="2" t="s">
        <v>24</v>
      </c>
      <c r="J15" s="2" t="s">
        <v>26</v>
      </c>
    </row>
    <row r="16" spans="1:10" ht="52.8" x14ac:dyDescent="0.3">
      <c r="A16" s="34" t="s">
        <v>753</v>
      </c>
      <c r="B16" s="92"/>
      <c r="C16" s="93"/>
      <c r="D16" s="39" t="s">
        <v>733</v>
      </c>
      <c r="E16" s="23"/>
      <c r="F16" s="34" t="s">
        <v>734</v>
      </c>
      <c r="G16" s="45" t="s">
        <v>730</v>
      </c>
      <c r="H16" s="77" t="s">
        <v>29</v>
      </c>
      <c r="I16" s="2" t="s">
        <v>24</v>
      </c>
      <c r="J16" s="2" t="s">
        <v>26</v>
      </c>
    </row>
    <row r="17" spans="1:10" ht="52.8" x14ac:dyDescent="0.3">
      <c r="A17" s="34" t="s">
        <v>754</v>
      </c>
      <c r="B17" s="92"/>
      <c r="C17" s="91" t="s">
        <v>663</v>
      </c>
      <c r="D17" s="39" t="s">
        <v>735</v>
      </c>
      <c r="E17" s="23"/>
      <c r="F17" s="34" t="s">
        <v>737</v>
      </c>
      <c r="G17" s="45" t="s">
        <v>727</v>
      </c>
      <c r="H17" s="77" t="s">
        <v>29</v>
      </c>
      <c r="I17" s="2" t="s">
        <v>24</v>
      </c>
      <c r="J17" s="2" t="s">
        <v>26</v>
      </c>
    </row>
    <row r="18" spans="1:10" ht="52.8" x14ac:dyDescent="0.3">
      <c r="A18" s="34" t="s">
        <v>755</v>
      </c>
      <c r="B18" s="92"/>
      <c r="C18" s="92"/>
      <c r="D18" s="39" t="s">
        <v>736</v>
      </c>
      <c r="E18" s="23"/>
      <c r="F18" s="34" t="s">
        <v>738</v>
      </c>
      <c r="G18" s="45" t="s">
        <v>730</v>
      </c>
      <c r="H18" s="77" t="s">
        <v>29</v>
      </c>
      <c r="I18" s="2" t="s">
        <v>24</v>
      </c>
      <c r="J18" s="2" t="s">
        <v>26</v>
      </c>
    </row>
    <row r="19" spans="1:10" ht="52.8" x14ac:dyDescent="0.3">
      <c r="A19" s="34" t="s">
        <v>756</v>
      </c>
      <c r="B19" s="92"/>
      <c r="C19" s="93"/>
      <c r="D19" s="39" t="s">
        <v>739</v>
      </c>
      <c r="E19" s="23" t="s">
        <v>740</v>
      </c>
      <c r="F19" s="34" t="s">
        <v>741</v>
      </c>
      <c r="G19" s="45" t="s">
        <v>730</v>
      </c>
      <c r="H19" s="77" t="s">
        <v>29</v>
      </c>
      <c r="I19" s="2" t="s">
        <v>24</v>
      </c>
      <c r="J19" s="2" t="s">
        <v>26</v>
      </c>
    </row>
    <row r="20" spans="1:10" ht="26.4" x14ac:dyDescent="0.3">
      <c r="A20" s="34" t="s">
        <v>757</v>
      </c>
      <c r="B20" s="91" t="s">
        <v>195</v>
      </c>
      <c r="C20" s="95" t="s">
        <v>673</v>
      </c>
      <c r="D20" s="44" t="s">
        <v>742</v>
      </c>
      <c r="E20" s="22"/>
      <c r="F20" s="41" t="s">
        <v>674</v>
      </c>
      <c r="G20" s="66" t="s">
        <v>675</v>
      </c>
      <c r="H20" s="77" t="s">
        <v>29</v>
      </c>
      <c r="I20" s="33" t="s">
        <v>206</v>
      </c>
      <c r="J20" s="33" t="s">
        <v>26</v>
      </c>
    </row>
    <row r="21" spans="1:10" ht="26.4" x14ac:dyDescent="0.3">
      <c r="A21" s="34" t="s">
        <v>758</v>
      </c>
      <c r="B21" s="92"/>
      <c r="C21" s="96"/>
      <c r="D21" s="39" t="s">
        <v>676</v>
      </c>
      <c r="E21" s="23"/>
      <c r="F21" s="34" t="s">
        <v>472</v>
      </c>
      <c r="G21" s="23" t="s">
        <v>743</v>
      </c>
      <c r="H21" s="77" t="s">
        <v>29</v>
      </c>
      <c r="I21" s="2" t="s">
        <v>206</v>
      </c>
      <c r="J21" s="2" t="s">
        <v>26</v>
      </c>
    </row>
    <row r="22" spans="1:10" ht="26.4" x14ac:dyDescent="0.3">
      <c r="A22" s="34" t="s">
        <v>759</v>
      </c>
      <c r="B22" s="92"/>
      <c r="C22" s="97"/>
      <c r="D22" s="39" t="s">
        <v>678</v>
      </c>
      <c r="E22" s="23"/>
      <c r="F22" s="34" t="s">
        <v>272</v>
      </c>
      <c r="G22" s="45" t="s">
        <v>744</v>
      </c>
      <c r="H22" s="77" t="s">
        <v>29</v>
      </c>
      <c r="I22" s="2" t="s">
        <v>206</v>
      </c>
      <c r="J22" s="2" t="s">
        <v>26</v>
      </c>
    </row>
    <row r="23" spans="1:10" x14ac:dyDescent="0.3">
      <c r="A23" s="34" t="s">
        <v>760</v>
      </c>
      <c r="B23" s="92"/>
      <c r="C23" s="95" t="s">
        <v>680</v>
      </c>
      <c r="D23" s="39" t="s">
        <v>681</v>
      </c>
      <c r="E23" s="23"/>
      <c r="F23" s="34" t="s">
        <v>682</v>
      </c>
      <c r="G23" s="45" t="s">
        <v>683</v>
      </c>
      <c r="H23" s="80" t="s">
        <v>30</v>
      </c>
      <c r="I23" s="2" t="s">
        <v>206</v>
      </c>
      <c r="J23" s="2" t="s">
        <v>26</v>
      </c>
    </row>
    <row r="24" spans="1:10" x14ac:dyDescent="0.3">
      <c r="A24" s="34" t="s">
        <v>761</v>
      </c>
      <c r="B24" s="92"/>
      <c r="C24" s="96"/>
      <c r="D24" s="39" t="s">
        <v>684</v>
      </c>
      <c r="E24" s="23"/>
      <c r="F24" s="34" t="s">
        <v>685</v>
      </c>
      <c r="G24" s="23" t="s">
        <v>686</v>
      </c>
      <c r="H24" s="77" t="s">
        <v>29</v>
      </c>
      <c r="I24" s="2" t="s">
        <v>206</v>
      </c>
      <c r="J24" s="2" t="s">
        <v>26</v>
      </c>
    </row>
    <row r="25" spans="1:10" x14ac:dyDescent="0.3">
      <c r="A25" s="34" t="s">
        <v>762</v>
      </c>
      <c r="B25" s="92"/>
      <c r="C25" s="96"/>
      <c r="D25" s="39" t="s">
        <v>687</v>
      </c>
      <c r="E25" s="23"/>
      <c r="F25" s="34" t="s">
        <v>688</v>
      </c>
      <c r="G25" s="23" t="s">
        <v>686</v>
      </c>
      <c r="H25" s="77" t="s">
        <v>29</v>
      </c>
      <c r="I25" s="2" t="s">
        <v>206</v>
      </c>
      <c r="J25" s="2" t="s">
        <v>26</v>
      </c>
    </row>
    <row r="26" spans="1:10" x14ac:dyDescent="0.3">
      <c r="A26" s="34" t="s">
        <v>763</v>
      </c>
      <c r="B26" s="92"/>
      <c r="C26" s="96"/>
      <c r="D26" s="39" t="s">
        <v>689</v>
      </c>
      <c r="E26" s="23"/>
      <c r="F26" s="34" t="s">
        <v>690</v>
      </c>
      <c r="G26" s="45" t="s">
        <v>686</v>
      </c>
      <c r="H26" s="77" t="s">
        <v>29</v>
      </c>
      <c r="I26" s="2" t="s">
        <v>206</v>
      </c>
      <c r="J26" s="2" t="s">
        <v>26</v>
      </c>
    </row>
    <row r="27" spans="1:10" x14ac:dyDescent="0.3">
      <c r="A27" s="34" t="s">
        <v>764</v>
      </c>
      <c r="B27" s="93"/>
      <c r="C27" s="97"/>
      <c r="D27" s="39" t="s">
        <v>691</v>
      </c>
      <c r="E27" s="23"/>
      <c r="F27" s="34" t="s">
        <v>692</v>
      </c>
      <c r="G27" s="45" t="s">
        <v>686</v>
      </c>
      <c r="H27" s="77" t="s">
        <v>29</v>
      </c>
      <c r="I27" s="2" t="s">
        <v>206</v>
      </c>
      <c r="J27" s="2" t="s">
        <v>26</v>
      </c>
    </row>
  </sheetData>
  <mergeCells count="7">
    <mergeCell ref="B9:B12"/>
    <mergeCell ref="B13:B19"/>
    <mergeCell ref="B20:B27"/>
    <mergeCell ref="C20:C22"/>
    <mergeCell ref="C23:C27"/>
    <mergeCell ref="C13:C16"/>
    <mergeCell ref="C17:C19"/>
  </mergeCells>
  <dataValidations count="2">
    <dataValidation type="list" allowBlank="1" showInputMessage="1" showErrorMessage="1" prompt=" - " sqref="H7">
      <formula1>$L$8:$L$12</formula1>
    </dataValidation>
    <dataValidation type="list" allowBlank="1" showInputMessage="1" showErrorMessage="1" prompt=" - " sqref="H8:H27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topLeftCell="A13" workbookViewId="0">
      <selection activeCell="A7" sqref="A7:J20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802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COUNTIF(H7:I954,"Pass")</f>
        <v>11</v>
      </c>
      <c r="B4" s="60">
        <f>COUNTIF(H7:I954,"Fail")</f>
        <v>2</v>
      </c>
      <c r="C4" s="60">
        <f>E4-D4-A4-B4</f>
        <v>0</v>
      </c>
      <c r="D4" s="61">
        <f>COUNTIF(H$8:I$955,"N/A")</f>
        <v>0</v>
      </c>
      <c r="E4" s="62">
        <f>COUNTA(A8:A958)</f>
        <v>13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34" t="s">
        <v>776</v>
      </c>
      <c r="B8" s="35" t="s">
        <v>130</v>
      </c>
      <c r="C8" s="35"/>
      <c r="D8" s="34" t="s">
        <v>765</v>
      </c>
      <c r="E8" s="34" t="s">
        <v>617</v>
      </c>
      <c r="F8" s="34" t="s">
        <v>791</v>
      </c>
      <c r="G8" s="36" t="s">
        <v>766</v>
      </c>
      <c r="H8" s="77" t="s">
        <v>29</v>
      </c>
      <c r="I8" s="2" t="s">
        <v>206</v>
      </c>
      <c r="J8" s="2" t="s">
        <v>26</v>
      </c>
    </row>
    <row r="9" spans="1:10" ht="26.4" x14ac:dyDescent="0.3">
      <c r="A9" s="34" t="s">
        <v>777</v>
      </c>
      <c r="B9" s="98" t="s">
        <v>131</v>
      </c>
      <c r="C9" s="29"/>
      <c r="D9" s="30" t="s">
        <v>146</v>
      </c>
      <c r="E9" s="31"/>
      <c r="F9" s="30" t="s">
        <v>150</v>
      </c>
      <c r="G9" s="32" t="s">
        <v>151</v>
      </c>
      <c r="H9" s="77" t="s">
        <v>29</v>
      </c>
      <c r="I9" s="33" t="s">
        <v>25</v>
      </c>
      <c r="J9" s="33" t="s">
        <v>26</v>
      </c>
    </row>
    <row r="10" spans="1:10" ht="26.4" x14ac:dyDescent="0.3">
      <c r="A10" s="34" t="s">
        <v>778</v>
      </c>
      <c r="B10" s="99"/>
      <c r="C10" s="16"/>
      <c r="D10" s="19" t="s">
        <v>147</v>
      </c>
      <c r="E10" s="17"/>
      <c r="F10" s="22" t="s">
        <v>152</v>
      </c>
      <c r="G10" s="20" t="s">
        <v>151</v>
      </c>
      <c r="H10" s="77" t="s">
        <v>29</v>
      </c>
      <c r="I10" s="2" t="s">
        <v>25</v>
      </c>
      <c r="J10" s="2" t="s">
        <v>26</v>
      </c>
    </row>
    <row r="11" spans="1:10" ht="26.4" x14ac:dyDescent="0.3">
      <c r="A11" s="34" t="s">
        <v>779</v>
      </c>
      <c r="B11" s="99"/>
      <c r="C11" s="27"/>
      <c r="D11" s="42" t="s">
        <v>148</v>
      </c>
      <c r="E11" s="43"/>
      <c r="F11" s="24" t="s">
        <v>153</v>
      </c>
      <c r="G11" s="24" t="s">
        <v>155</v>
      </c>
      <c r="H11" s="77" t="s">
        <v>29</v>
      </c>
      <c r="I11" s="28" t="s">
        <v>25</v>
      </c>
      <c r="J11" s="28" t="s">
        <v>26</v>
      </c>
    </row>
    <row r="12" spans="1:10" s="2" customFormat="1" ht="26.4" x14ac:dyDescent="0.3">
      <c r="A12" s="34" t="s">
        <v>780</v>
      </c>
      <c r="B12" s="100"/>
      <c r="C12" s="35"/>
      <c r="D12" s="19" t="s">
        <v>149</v>
      </c>
      <c r="E12" s="35"/>
      <c r="F12" s="34" t="s">
        <v>154</v>
      </c>
      <c r="G12" s="34" t="s">
        <v>156</v>
      </c>
      <c r="H12" s="77" t="s">
        <v>29</v>
      </c>
      <c r="I12" s="2" t="s">
        <v>25</v>
      </c>
      <c r="J12" s="2" t="s">
        <v>26</v>
      </c>
    </row>
    <row r="13" spans="1:10" ht="52.8" x14ac:dyDescent="0.3">
      <c r="A13" s="34" t="s">
        <v>781</v>
      </c>
      <c r="B13" s="92" t="s">
        <v>132</v>
      </c>
      <c r="C13" s="91" t="s">
        <v>663</v>
      </c>
      <c r="D13" s="39" t="s">
        <v>789</v>
      </c>
      <c r="E13" s="23"/>
      <c r="F13" s="34" t="s">
        <v>767</v>
      </c>
      <c r="G13" s="45" t="s">
        <v>768</v>
      </c>
      <c r="H13" s="77" t="s">
        <v>29</v>
      </c>
      <c r="I13" s="2" t="s">
        <v>24</v>
      </c>
      <c r="J13" s="2" t="s">
        <v>26</v>
      </c>
    </row>
    <row r="14" spans="1:10" ht="52.8" x14ac:dyDescent="0.3">
      <c r="A14" s="34" t="s">
        <v>782</v>
      </c>
      <c r="B14" s="92"/>
      <c r="C14" s="92"/>
      <c r="D14" s="39" t="s">
        <v>769</v>
      </c>
      <c r="E14" s="23"/>
      <c r="F14" s="34" t="s">
        <v>770</v>
      </c>
      <c r="G14" s="45" t="s">
        <v>771</v>
      </c>
      <c r="H14" s="80" t="s">
        <v>30</v>
      </c>
      <c r="I14" s="2" t="s">
        <v>24</v>
      </c>
      <c r="J14" s="2" t="s">
        <v>26</v>
      </c>
    </row>
    <row r="15" spans="1:10" ht="52.8" x14ac:dyDescent="0.3">
      <c r="A15" s="34" t="s">
        <v>783</v>
      </c>
      <c r="B15" s="92"/>
      <c r="C15" s="93"/>
      <c r="D15" s="39" t="s">
        <v>772</v>
      </c>
      <c r="E15" s="23"/>
      <c r="F15" s="34" t="s">
        <v>773</v>
      </c>
      <c r="G15" s="45" t="s">
        <v>730</v>
      </c>
      <c r="H15" s="77" t="s">
        <v>29</v>
      </c>
      <c r="I15" s="2" t="s">
        <v>24</v>
      </c>
      <c r="J15" s="2" t="s">
        <v>26</v>
      </c>
    </row>
    <row r="16" spans="1:10" x14ac:dyDescent="0.3">
      <c r="A16" s="34" t="s">
        <v>784</v>
      </c>
      <c r="B16" s="92"/>
      <c r="C16" s="95" t="s">
        <v>680</v>
      </c>
      <c r="D16" s="39" t="s">
        <v>681</v>
      </c>
      <c r="E16" s="23"/>
      <c r="F16" s="34" t="s">
        <v>682</v>
      </c>
      <c r="G16" s="45" t="s">
        <v>683</v>
      </c>
      <c r="H16" s="80" t="s">
        <v>30</v>
      </c>
      <c r="I16" s="2" t="s">
        <v>206</v>
      </c>
      <c r="J16" s="2" t="s">
        <v>26</v>
      </c>
    </row>
    <row r="17" spans="1:10" x14ac:dyDescent="0.3">
      <c r="A17" s="34" t="s">
        <v>785</v>
      </c>
      <c r="B17" s="92"/>
      <c r="C17" s="96"/>
      <c r="D17" s="39" t="s">
        <v>684</v>
      </c>
      <c r="E17" s="23"/>
      <c r="F17" s="34" t="s">
        <v>685</v>
      </c>
      <c r="G17" s="23" t="s">
        <v>686</v>
      </c>
      <c r="H17" s="77" t="s">
        <v>29</v>
      </c>
      <c r="I17" s="2" t="s">
        <v>206</v>
      </c>
      <c r="J17" s="2" t="s">
        <v>26</v>
      </c>
    </row>
    <row r="18" spans="1:10" x14ac:dyDescent="0.3">
      <c r="A18" s="34" t="s">
        <v>786</v>
      </c>
      <c r="B18" s="92"/>
      <c r="C18" s="96"/>
      <c r="D18" s="39" t="s">
        <v>687</v>
      </c>
      <c r="E18" s="23"/>
      <c r="F18" s="34" t="s">
        <v>688</v>
      </c>
      <c r="G18" s="23" t="s">
        <v>686</v>
      </c>
      <c r="H18" s="77" t="s">
        <v>29</v>
      </c>
      <c r="I18" s="2" t="s">
        <v>206</v>
      </c>
      <c r="J18" s="2" t="s">
        <v>26</v>
      </c>
    </row>
    <row r="19" spans="1:10" x14ac:dyDescent="0.3">
      <c r="A19" s="34" t="s">
        <v>787</v>
      </c>
      <c r="B19" s="92"/>
      <c r="C19" s="96"/>
      <c r="D19" s="39" t="s">
        <v>689</v>
      </c>
      <c r="E19" s="23"/>
      <c r="F19" s="34" t="s">
        <v>690</v>
      </c>
      <c r="G19" s="45" t="s">
        <v>686</v>
      </c>
      <c r="H19" s="77" t="s">
        <v>29</v>
      </c>
      <c r="I19" s="2" t="s">
        <v>206</v>
      </c>
      <c r="J19" s="2" t="s">
        <v>26</v>
      </c>
    </row>
    <row r="20" spans="1:10" x14ac:dyDescent="0.3">
      <c r="A20" s="34" t="s">
        <v>788</v>
      </c>
      <c r="B20" s="93"/>
      <c r="C20" s="97"/>
      <c r="D20" s="39" t="s">
        <v>691</v>
      </c>
      <c r="E20" s="23"/>
      <c r="F20" s="34" t="s">
        <v>692</v>
      </c>
      <c r="G20" s="45" t="s">
        <v>686</v>
      </c>
      <c r="H20" s="77" t="s">
        <v>29</v>
      </c>
      <c r="I20" s="2" t="s">
        <v>206</v>
      </c>
      <c r="J20" s="2" t="s">
        <v>26</v>
      </c>
    </row>
  </sheetData>
  <mergeCells count="5">
    <mergeCell ref="B9:B12"/>
    <mergeCell ref="B13:B15"/>
    <mergeCell ref="C13:C15"/>
    <mergeCell ref="B16:B20"/>
    <mergeCell ref="C16:C20"/>
  </mergeCells>
  <dataValidations count="2">
    <dataValidation type="list" allowBlank="1" showInputMessage="1" showErrorMessage="1" prompt=" - " sqref="H7">
      <formula1>$L$8:$L$12</formula1>
    </dataValidation>
    <dataValidation type="list" allowBlank="1" showInputMessage="1" showErrorMessage="1" prompt=" - " sqref="H8:H20">
      <formula1>"Pass,Fail,Untested,N/A"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"/>
  <sheetViews>
    <sheetView topLeftCell="A4" workbookViewId="0">
      <selection activeCell="G20" sqref="G20"/>
    </sheetView>
  </sheetViews>
  <sheetFormatPr defaultRowHeight="14.4" x14ac:dyDescent="0.3"/>
  <cols>
    <col min="1" max="1" width="15.6640625" customWidth="1"/>
    <col min="2" max="2" width="19.33203125" customWidth="1"/>
    <col min="3" max="3" width="21.5546875" customWidth="1"/>
    <col min="4" max="4" width="25.109375" customWidth="1"/>
    <col min="5" max="5" width="18.21875" customWidth="1"/>
    <col min="6" max="6" width="25.109375" customWidth="1"/>
    <col min="7" max="7" width="22.44140625" customWidth="1"/>
    <col min="8" max="8" width="15.5546875" customWidth="1"/>
    <col min="9" max="9" width="10.77734375" customWidth="1"/>
    <col min="10" max="10" width="11" customWidth="1"/>
  </cols>
  <sheetData>
    <row r="1" spans="1:10" x14ac:dyDescent="0.3">
      <c r="A1" s="47" t="s">
        <v>449</v>
      </c>
      <c r="B1" s="48" t="s">
        <v>803</v>
      </c>
      <c r="C1" s="49"/>
      <c r="D1" s="50"/>
      <c r="E1" s="51"/>
    </row>
    <row r="2" spans="1:10" x14ac:dyDescent="0.3">
      <c r="A2" s="52" t="s">
        <v>5</v>
      </c>
      <c r="B2" s="53" t="s">
        <v>454</v>
      </c>
      <c r="C2" s="54"/>
      <c r="D2" s="54"/>
      <c r="E2" s="55"/>
    </row>
    <row r="3" spans="1:10" ht="26.4" x14ac:dyDescent="0.3">
      <c r="A3" s="56" t="s">
        <v>29</v>
      </c>
      <c r="B3" s="57" t="s">
        <v>30</v>
      </c>
      <c r="C3" s="57" t="s">
        <v>450</v>
      </c>
      <c r="D3" s="57" t="s">
        <v>451</v>
      </c>
      <c r="E3" s="58" t="s">
        <v>452</v>
      </c>
    </row>
    <row r="4" spans="1:10" ht="15" thickBot="1" x14ac:dyDescent="0.35">
      <c r="A4" s="59">
        <f>COUNTIF(H7:I952,"Pass")</f>
        <v>10</v>
      </c>
      <c r="B4" s="60">
        <f>COUNTIF(H7:I952,"Fail")</f>
        <v>1</v>
      </c>
      <c r="C4" s="60">
        <f>E4-D4-A4-B4</f>
        <v>0</v>
      </c>
      <c r="D4" s="61">
        <f>COUNTIF(H$8:I$953,"N/A")</f>
        <v>0</v>
      </c>
      <c r="E4" s="62">
        <f>COUNTA(A8:A956)</f>
        <v>11</v>
      </c>
    </row>
    <row r="7" spans="1:10" x14ac:dyDescent="0.3">
      <c r="A7" s="13" t="s">
        <v>123</v>
      </c>
      <c r="B7" s="13" t="s">
        <v>124</v>
      </c>
      <c r="C7" s="13" t="s">
        <v>125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27</v>
      </c>
      <c r="I7" s="25" t="s">
        <v>19</v>
      </c>
      <c r="J7" s="15" t="s">
        <v>20</v>
      </c>
    </row>
    <row r="8" spans="1:10" ht="39.6" x14ac:dyDescent="0.3">
      <c r="A8" s="34" t="s">
        <v>804</v>
      </c>
      <c r="B8" s="35" t="s">
        <v>130</v>
      </c>
      <c r="C8" s="35"/>
      <c r="D8" s="34" t="s">
        <v>790</v>
      </c>
      <c r="E8" s="34" t="s">
        <v>617</v>
      </c>
      <c r="F8" s="34" t="s">
        <v>792</v>
      </c>
      <c r="G8" s="36" t="s">
        <v>766</v>
      </c>
      <c r="H8" s="77" t="s">
        <v>29</v>
      </c>
      <c r="I8" s="2" t="s">
        <v>206</v>
      </c>
      <c r="J8" s="2" t="s">
        <v>26</v>
      </c>
    </row>
    <row r="9" spans="1:10" ht="26.4" x14ac:dyDescent="0.3">
      <c r="A9" s="34" t="s">
        <v>805</v>
      </c>
      <c r="B9" s="98" t="s">
        <v>131</v>
      </c>
      <c r="C9" s="29"/>
      <c r="D9" s="30" t="s">
        <v>146</v>
      </c>
      <c r="E9" s="31"/>
      <c r="F9" s="30" t="s">
        <v>150</v>
      </c>
      <c r="G9" s="32" t="s">
        <v>151</v>
      </c>
      <c r="H9" s="77" t="s">
        <v>29</v>
      </c>
      <c r="I9" s="33" t="s">
        <v>25</v>
      </c>
      <c r="J9" s="33" t="s">
        <v>26</v>
      </c>
    </row>
    <row r="10" spans="1:10" ht="26.4" x14ac:dyDescent="0.3">
      <c r="A10" s="34" t="s">
        <v>806</v>
      </c>
      <c r="B10" s="99"/>
      <c r="C10" s="16"/>
      <c r="D10" s="19" t="s">
        <v>147</v>
      </c>
      <c r="E10" s="17"/>
      <c r="F10" s="22" t="s">
        <v>152</v>
      </c>
      <c r="G10" s="20" t="s">
        <v>151</v>
      </c>
      <c r="H10" s="77" t="s">
        <v>29</v>
      </c>
      <c r="I10" s="2" t="s">
        <v>25</v>
      </c>
      <c r="J10" s="2" t="s">
        <v>26</v>
      </c>
    </row>
    <row r="11" spans="1:10" ht="26.4" x14ac:dyDescent="0.3">
      <c r="A11" s="34" t="s">
        <v>807</v>
      </c>
      <c r="B11" s="99"/>
      <c r="C11" s="27"/>
      <c r="D11" s="42" t="s">
        <v>148</v>
      </c>
      <c r="E11" s="43"/>
      <c r="F11" s="24" t="s">
        <v>153</v>
      </c>
      <c r="G11" s="24" t="s">
        <v>155</v>
      </c>
      <c r="H11" s="77" t="s">
        <v>29</v>
      </c>
      <c r="I11" s="28" t="s">
        <v>25</v>
      </c>
      <c r="J11" s="28" t="s">
        <v>26</v>
      </c>
    </row>
    <row r="12" spans="1:10" s="2" customFormat="1" ht="26.4" x14ac:dyDescent="0.3">
      <c r="A12" s="34" t="s">
        <v>808</v>
      </c>
      <c r="B12" s="100"/>
      <c r="C12" s="35"/>
      <c r="D12" s="19" t="s">
        <v>149</v>
      </c>
      <c r="E12" s="35"/>
      <c r="F12" s="34" t="s">
        <v>154</v>
      </c>
      <c r="G12" s="34" t="s">
        <v>156</v>
      </c>
      <c r="H12" s="77" t="s">
        <v>29</v>
      </c>
      <c r="I12" s="2" t="s">
        <v>25</v>
      </c>
      <c r="J12" s="2" t="s">
        <v>26</v>
      </c>
    </row>
    <row r="13" spans="1:10" ht="26.4" x14ac:dyDescent="0.3">
      <c r="A13" s="34" t="s">
        <v>809</v>
      </c>
      <c r="B13" s="92" t="s">
        <v>132</v>
      </c>
      <c r="C13" s="91" t="s">
        <v>663</v>
      </c>
      <c r="D13" s="39" t="s">
        <v>793</v>
      </c>
      <c r="E13" s="23"/>
      <c r="F13" s="34" t="s">
        <v>794</v>
      </c>
      <c r="G13" s="45" t="s">
        <v>795</v>
      </c>
      <c r="H13" s="77" t="s">
        <v>29</v>
      </c>
      <c r="I13" s="2" t="s">
        <v>24</v>
      </c>
      <c r="J13" s="2" t="s">
        <v>26</v>
      </c>
    </row>
    <row r="14" spans="1:10" ht="26.4" x14ac:dyDescent="0.3">
      <c r="A14" s="34" t="s">
        <v>810</v>
      </c>
      <c r="B14" s="92"/>
      <c r="C14" s="92"/>
      <c r="D14" s="39" t="s">
        <v>796</v>
      </c>
      <c r="E14" s="23"/>
      <c r="F14" s="34" t="s">
        <v>797</v>
      </c>
      <c r="G14" s="45" t="s">
        <v>798</v>
      </c>
      <c r="H14" s="77" t="s">
        <v>29</v>
      </c>
      <c r="I14" s="2" t="s">
        <v>24</v>
      </c>
      <c r="J14" s="2" t="s">
        <v>26</v>
      </c>
    </row>
    <row r="15" spans="1:10" ht="26.4" x14ac:dyDescent="0.3">
      <c r="A15" s="34" t="s">
        <v>811</v>
      </c>
      <c r="B15" s="92"/>
      <c r="C15" s="93"/>
      <c r="D15" s="39" t="s">
        <v>799</v>
      </c>
      <c r="E15" s="23"/>
      <c r="F15" s="34" t="s">
        <v>800</v>
      </c>
      <c r="G15" s="45" t="s">
        <v>801</v>
      </c>
      <c r="H15" s="77" t="s">
        <v>29</v>
      </c>
      <c r="I15" s="2" t="s">
        <v>24</v>
      </c>
      <c r="J15" s="2" t="s">
        <v>26</v>
      </c>
    </row>
    <row r="16" spans="1:10" ht="26.4" x14ac:dyDescent="0.3">
      <c r="A16" s="34" t="s">
        <v>812</v>
      </c>
      <c r="B16" s="91" t="s">
        <v>195</v>
      </c>
      <c r="C16" s="95" t="s">
        <v>673</v>
      </c>
      <c r="D16" s="44" t="s">
        <v>774</v>
      </c>
      <c r="E16" s="22"/>
      <c r="F16" s="41" t="s">
        <v>674</v>
      </c>
      <c r="G16" s="66" t="s">
        <v>675</v>
      </c>
      <c r="H16" s="77" t="s">
        <v>29</v>
      </c>
      <c r="I16" s="33" t="s">
        <v>206</v>
      </c>
      <c r="J16" s="33" t="s">
        <v>26</v>
      </c>
    </row>
    <row r="17" spans="1:10" ht="26.4" x14ac:dyDescent="0.3">
      <c r="A17" s="34" t="s">
        <v>813</v>
      </c>
      <c r="B17" s="92"/>
      <c r="C17" s="96"/>
      <c r="D17" s="39" t="s">
        <v>676</v>
      </c>
      <c r="E17" s="23"/>
      <c r="F17" s="34" t="s">
        <v>472</v>
      </c>
      <c r="G17" s="23" t="s">
        <v>775</v>
      </c>
      <c r="H17" s="77" t="s">
        <v>29</v>
      </c>
      <c r="I17" s="2" t="s">
        <v>206</v>
      </c>
      <c r="J17" s="2" t="s">
        <v>26</v>
      </c>
    </row>
    <row r="18" spans="1:10" ht="39.6" x14ac:dyDescent="0.3">
      <c r="A18" s="34" t="s">
        <v>814</v>
      </c>
      <c r="B18" s="93"/>
      <c r="C18" s="97"/>
      <c r="D18" s="39" t="s">
        <v>678</v>
      </c>
      <c r="E18" s="23"/>
      <c r="F18" s="34" t="s">
        <v>272</v>
      </c>
      <c r="G18" s="45" t="s">
        <v>834</v>
      </c>
      <c r="H18" s="80" t="s">
        <v>30</v>
      </c>
      <c r="I18" s="2" t="s">
        <v>206</v>
      </c>
      <c r="J18" s="2" t="s">
        <v>26</v>
      </c>
    </row>
  </sheetData>
  <mergeCells count="5">
    <mergeCell ref="B9:B12"/>
    <mergeCell ref="B13:B15"/>
    <mergeCell ref="C13:C15"/>
    <mergeCell ref="B16:B18"/>
    <mergeCell ref="C16:C18"/>
  </mergeCells>
  <dataValidations count="2">
    <dataValidation type="list" allowBlank="1" showInputMessage="1" showErrorMessage="1" prompt=" - " sqref="H8:H18">
      <formula1>"Pass,Fail,Untested,N/A"</formula1>
    </dataValidation>
    <dataValidation type="list" allowBlank="1" showInputMessage="1" showErrorMessage="1" prompt=" - " sqref="H7">
      <formula1>$L$8:$L$12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2"/>
  <sheetViews>
    <sheetView tabSelected="1" workbookViewId="0">
      <selection activeCell="H1" sqref="H1:H1048576"/>
    </sheetView>
  </sheetViews>
  <sheetFormatPr defaultRowHeight="14.4" x14ac:dyDescent="0.3"/>
  <cols>
    <col min="1" max="1" width="8.6640625" bestFit="1" customWidth="1"/>
    <col min="2" max="2" width="15.44140625" bestFit="1" customWidth="1"/>
    <col min="3" max="3" width="61.5546875" bestFit="1" customWidth="1"/>
    <col min="4" max="4" width="72.33203125" bestFit="1" customWidth="1"/>
    <col min="5" max="5" width="7.109375" bestFit="1" customWidth="1"/>
  </cols>
  <sheetData>
    <row r="3" spans="1:9" x14ac:dyDescent="0.3">
      <c r="A3" s="1" t="s">
        <v>32</v>
      </c>
      <c r="B3" s="1" t="s">
        <v>33</v>
      </c>
      <c r="C3" s="1" t="s">
        <v>15</v>
      </c>
      <c r="D3" s="1" t="s">
        <v>34</v>
      </c>
      <c r="E3" s="1" t="s">
        <v>19</v>
      </c>
      <c r="F3" s="1" t="s">
        <v>36</v>
      </c>
      <c r="G3" s="1" t="s">
        <v>18</v>
      </c>
      <c r="H3" s="1" t="s">
        <v>37</v>
      </c>
      <c r="I3" s="1" t="s">
        <v>20</v>
      </c>
    </row>
    <row r="4" spans="1:9" ht="79.2" x14ac:dyDescent="0.3">
      <c r="A4" s="2" t="s">
        <v>835</v>
      </c>
      <c r="B4" s="2" t="s">
        <v>455</v>
      </c>
      <c r="C4" s="2" t="s">
        <v>836</v>
      </c>
      <c r="D4" s="2" t="s">
        <v>837</v>
      </c>
      <c r="E4" s="2" t="s">
        <v>24</v>
      </c>
      <c r="F4" s="2" t="s">
        <v>838</v>
      </c>
      <c r="G4" s="23" t="s">
        <v>839</v>
      </c>
      <c r="H4" s="2" t="s">
        <v>46</v>
      </c>
      <c r="I4" s="2" t="s">
        <v>47</v>
      </c>
    </row>
    <row r="5" spans="1:9" ht="118.8" x14ac:dyDescent="0.3">
      <c r="A5" s="2" t="s">
        <v>840</v>
      </c>
      <c r="B5" s="2" t="s">
        <v>455</v>
      </c>
      <c r="C5" s="2" t="s">
        <v>841</v>
      </c>
      <c r="D5" s="2" t="s">
        <v>842</v>
      </c>
      <c r="E5" s="2" t="s">
        <v>24</v>
      </c>
      <c r="F5" s="2" t="s">
        <v>843</v>
      </c>
      <c r="G5" s="23" t="s">
        <v>844</v>
      </c>
      <c r="H5" s="2" t="s">
        <v>46</v>
      </c>
      <c r="I5" s="2" t="s">
        <v>47</v>
      </c>
    </row>
    <row r="6" spans="1:9" ht="92.4" x14ac:dyDescent="0.3">
      <c r="A6" s="2" t="s">
        <v>845</v>
      </c>
      <c r="B6" s="2" t="s">
        <v>455</v>
      </c>
      <c r="C6" s="2" t="s">
        <v>846</v>
      </c>
      <c r="D6" s="2" t="s">
        <v>847</v>
      </c>
      <c r="E6" s="2" t="s">
        <v>24</v>
      </c>
      <c r="F6" s="2" t="s">
        <v>848</v>
      </c>
      <c r="G6" s="23" t="s">
        <v>849</v>
      </c>
      <c r="H6" s="2" t="s">
        <v>46</v>
      </c>
      <c r="I6" s="2" t="s">
        <v>47</v>
      </c>
    </row>
    <row r="7" spans="1:9" ht="92.4" x14ac:dyDescent="0.3">
      <c r="A7" s="2" t="s">
        <v>850</v>
      </c>
      <c r="B7" s="2" t="s">
        <v>615</v>
      </c>
      <c r="C7" s="2" t="s">
        <v>851</v>
      </c>
      <c r="D7" s="2" t="s">
        <v>852</v>
      </c>
      <c r="E7" s="2" t="s">
        <v>206</v>
      </c>
      <c r="F7" s="2" t="s">
        <v>272</v>
      </c>
      <c r="G7" s="45" t="s">
        <v>853</v>
      </c>
      <c r="H7" s="2" t="s">
        <v>46</v>
      </c>
      <c r="I7" s="2" t="s">
        <v>47</v>
      </c>
    </row>
    <row r="8" spans="1:9" ht="52.8" x14ac:dyDescent="0.3">
      <c r="A8" s="2" t="s">
        <v>854</v>
      </c>
      <c r="B8" s="2" t="s">
        <v>615</v>
      </c>
      <c r="C8" s="2" t="s">
        <v>855</v>
      </c>
      <c r="D8" s="2" t="s">
        <v>856</v>
      </c>
      <c r="E8" s="2" t="s">
        <v>206</v>
      </c>
      <c r="F8" s="2" t="s">
        <v>857</v>
      </c>
      <c r="G8" s="45" t="s">
        <v>858</v>
      </c>
      <c r="H8" s="2" t="s">
        <v>859</v>
      </c>
      <c r="I8" s="2" t="s">
        <v>47</v>
      </c>
    </row>
    <row r="9" spans="1:9" ht="52.8" x14ac:dyDescent="0.3">
      <c r="A9" s="2" t="s">
        <v>860</v>
      </c>
      <c r="B9" s="2" t="s">
        <v>720</v>
      </c>
      <c r="C9" s="2" t="s">
        <v>855</v>
      </c>
      <c r="D9" s="2" t="s">
        <v>856</v>
      </c>
      <c r="E9" s="2" t="s">
        <v>24</v>
      </c>
      <c r="F9" s="2" t="s">
        <v>857</v>
      </c>
      <c r="G9" s="45" t="s">
        <v>858</v>
      </c>
      <c r="H9" s="2" t="s">
        <v>859</v>
      </c>
      <c r="I9" s="2" t="s">
        <v>47</v>
      </c>
    </row>
    <row r="10" spans="1:9" x14ac:dyDescent="0.3">
      <c r="A10" s="2" t="s">
        <v>861</v>
      </c>
      <c r="B10" s="2" t="s">
        <v>802</v>
      </c>
      <c r="C10" s="2" t="s">
        <v>862</v>
      </c>
      <c r="D10" s="2" t="s">
        <v>863</v>
      </c>
      <c r="E10" s="2" t="s">
        <v>24</v>
      </c>
      <c r="F10" s="2" t="s">
        <v>864</v>
      </c>
      <c r="G10" s="2" t="s">
        <v>865</v>
      </c>
      <c r="H10" s="2" t="s">
        <v>866</v>
      </c>
      <c r="I10" s="2" t="s">
        <v>47</v>
      </c>
    </row>
    <row r="11" spans="1:9" ht="52.8" x14ac:dyDescent="0.3">
      <c r="A11" s="2" t="s">
        <v>867</v>
      </c>
      <c r="B11" s="2" t="s">
        <v>802</v>
      </c>
      <c r="C11" s="2" t="s">
        <v>855</v>
      </c>
      <c r="D11" s="2" t="s">
        <v>856</v>
      </c>
      <c r="E11" s="2" t="s">
        <v>206</v>
      </c>
      <c r="F11" s="2" t="s">
        <v>857</v>
      </c>
      <c r="G11" s="45" t="s">
        <v>858</v>
      </c>
      <c r="H11" s="2" t="s">
        <v>859</v>
      </c>
      <c r="I11" s="2" t="s">
        <v>47</v>
      </c>
    </row>
    <row r="12" spans="1:9" ht="92.4" x14ac:dyDescent="0.3">
      <c r="A12" s="2" t="s">
        <v>868</v>
      </c>
      <c r="B12" s="2"/>
      <c r="C12" s="2" t="s">
        <v>851</v>
      </c>
      <c r="D12" s="2" t="s">
        <v>852</v>
      </c>
      <c r="E12" s="2" t="s">
        <v>206</v>
      </c>
      <c r="F12" s="2" t="s">
        <v>272</v>
      </c>
      <c r="G12" s="45" t="s">
        <v>853</v>
      </c>
      <c r="H12" s="2" t="s">
        <v>46</v>
      </c>
      <c r="I12" s="2" t="s">
        <v>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D1" workbookViewId="0">
      <selection activeCell="I2" sqref="I2"/>
    </sheetView>
  </sheetViews>
  <sheetFormatPr defaultRowHeight="14.4" x14ac:dyDescent="0.3"/>
  <cols>
    <col min="2" max="2" width="9.77734375" bestFit="1" customWidth="1"/>
    <col min="3" max="3" width="22.5546875" customWidth="1"/>
    <col min="4" max="4" width="33.77734375" customWidth="1"/>
    <col min="7" max="7" width="29.77734375" bestFit="1" customWidth="1"/>
    <col min="8" max="8" width="28.5546875" bestFit="1" customWidth="1"/>
    <col min="9" max="9" width="21.88671875" bestFit="1" customWidth="1"/>
    <col min="10" max="10" width="13.21875" customWidth="1"/>
    <col min="11" max="11" width="26.77734375" customWidth="1"/>
    <col min="13" max="13" width="10.109375" bestFit="1" customWidth="1"/>
    <col min="14" max="14" width="10.44140625" bestFit="1" customWidth="1"/>
  </cols>
  <sheetData>
    <row r="1" spans="1:14" x14ac:dyDescent="0.3">
      <c r="A1" s="1" t="s">
        <v>32</v>
      </c>
      <c r="B1" s="1" t="s">
        <v>33</v>
      </c>
      <c r="C1" s="1" t="s">
        <v>15</v>
      </c>
      <c r="D1" s="1" t="s">
        <v>34</v>
      </c>
      <c r="E1" s="1" t="s">
        <v>35</v>
      </c>
      <c r="F1" s="1" t="s">
        <v>19</v>
      </c>
      <c r="G1" s="1" t="s">
        <v>36</v>
      </c>
      <c r="H1" s="1" t="s">
        <v>18</v>
      </c>
      <c r="I1" s="1" t="s">
        <v>37</v>
      </c>
      <c r="J1" s="1" t="s">
        <v>20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ht="43.2" x14ac:dyDescent="0.3">
      <c r="A2" s="2" t="s">
        <v>31</v>
      </c>
      <c r="B2" s="2" t="s">
        <v>7</v>
      </c>
      <c r="C2" s="4" t="s">
        <v>42</v>
      </c>
      <c r="D2" s="4" t="s">
        <v>43</v>
      </c>
      <c r="E2" s="2" t="s">
        <v>44</v>
      </c>
      <c r="F2" s="2" t="s">
        <v>25</v>
      </c>
      <c r="G2" s="4" t="s">
        <v>95</v>
      </c>
      <c r="H2" s="2" t="s">
        <v>45</v>
      </c>
      <c r="I2" s="2" t="s">
        <v>46</v>
      </c>
      <c r="J2" s="2" t="s">
        <v>47</v>
      </c>
      <c r="K2" s="2" t="s">
        <v>57</v>
      </c>
      <c r="L2" s="2" t="s">
        <v>79</v>
      </c>
      <c r="M2" s="2" t="s">
        <v>28</v>
      </c>
      <c r="N2" s="2" t="s">
        <v>28</v>
      </c>
    </row>
    <row r="3" spans="1:14" x14ac:dyDescent="0.3">
      <c r="A3" s="2" t="s">
        <v>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8" x14ac:dyDescent="0.3">
      <c r="B7" s="9" t="s">
        <v>80</v>
      </c>
      <c r="C7" s="10"/>
      <c r="D7" s="10"/>
    </row>
    <row r="8" spans="1:14" x14ac:dyDescent="0.3">
      <c r="B8" s="8" t="s">
        <v>81</v>
      </c>
      <c r="C8" s="8" t="s">
        <v>82</v>
      </c>
      <c r="D8" s="8" t="s">
        <v>83</v>
      </c>
    </row>
    <row r="9" spans="1:14" ht="57.6" x14ac:dyDescent="0.3">
      <c r="B9" s="7" t="s">
        <v>84</v>
      </c>
      <c r="C9" s="7" t="s">
        <v>91</v>
      </c>
      <c r="D9" s="7" t="s">
        <v>85</v>
      </c>
      <c r="J9" s="11" t="s">
        <v>97</v>
      </c>
    </row>
    <row r="10" spans="1:14" ht="57.6" x14ac:dyDescent="0.3">
      <c r="B10" s="7" t="s">
        <v>86</v>
      </c>
      <c r="C10" s="7" t="s">
        <v>92</v>
      </c>
      <c r="D10" s="7" t="s">
        <v>87</v>
      </c>
      <c r="J10" s="5" t="s">
        <v>98</v>
      </c>
      <c r="K10" s="5" t="s">
        <v>99</v>
      </c>
    </row>
    <row r="11" spans="1:14" ht="57.6" x14ac:dyDescent="0.3">
      <c r="B11" s="7" t="s">
        <v>44</v>
      </c>
      <c r="C11" s="7" t="s">
        <v>93</v>
      </c>
      <c r="D11" s="7" t="s">
        <v>88</v>
      </c>
      <c r="J11" s="6" t="s">
        <v>100</v>
      </c>
      <c r="K11" s="7" t="s">
        <v>101</v>
      </c>
    </row>
    <row r="12" spans="1:14" ht="43.2" x14ac:dyDescent="0.3">
      <c r="B12" s="7" t="s">
        <v>89</v>
      </c>
      <c r="C12" s="7" t="s">
        <v>94</v>
      </c>
      <c r="D12" s="7" t="s">
        <v>90</v>
      </c>
      <c r="J12" s="6" t="s">
        <v>47</v>
      </c>
      <c r="K12" s="7" t="s">
        <v>102</v>
      </c>
    </row>
    <row r="13" spans="1:14" ht="28.8" x14ac:dyDescent="0.3">
      <c r="J13" s="6" t="s">
        <v>103</v>
      </c>
      <c r="K13" s="7" t="s">
        <v>104</v>
      </c>
    </row>
    <row r="14" spans="1:14" ht="28.8" x14ac:dyDescent="0.3">
      <c r="J14" s="6" t="s">
        <v>105</v>
      </c>
      <c r="K14" s="7" t="s">
        <v>106</v>
      </c>
    </row>
    <row r="15" spans="1:14" ht="43.2" x14ac:dyDescent="0.3">
      <c r="J15" s="6" t="s">
        <v>107</v>
      </c>
      <c r="K15" s="7" t="s">
        <v>108</v>
      </c>
    </row>
    <row r="16" spans="1:14" ht="28.8" x14ac:dyDescent="0.3">
      <c r="J16" s="6" t="s">
        <v>109</v>
      </c>
      <c r="K16" s="7" t="s">
        <v>110</v>
      </c>
    </row>
    <row r="17" spans="10:11" ht="28.8" x14ac:dyDescent="0.3">
      <c r="J17" s="6" t="s">
        <v>111</v>
      </c>
      <c r="K17" s="7" t="s">
        <v>112</v>
      </c>
    </row>
    <row r="18" spans="10:11" ht="43.2" x14ac:dyDescent="0.3">
      <c r="J18" s="6" t="s">
        <v>113</v>
      </c>
      <c r="K18" s="7" t="s">
        <v>114</v>
      </c>
    </row>
    <row r="19" spans="10:11" ht="43.2" x14ac:dyDescent="0.3">
      <c r="J19" s="6" t="s">
        <v>115</v>
      </c>
      <c r="K19" s="7" t="s">
        <v>116</v>
      </c>
    </row>
    <row r="20" spans="10:11" ht="28.8" x14ac:dyDescent="0.3">
      <c r="J20" s="6" t="s">
        <v>117</v>
      </c>
      <c r="K20" s="7" t="s">
        <v>118</v>
      </c>
    </row>
    <row r="21" spans="10:11" ht="28.8" x14ac:dyDescent="0.3">
      <c r="J21" s="6" t="s">
        <v>119</v>
      </c>
      <c r="K21" s="7" t="s">
        <v>120</v>
      </c>
    </row>
    <row r="22" spans="10:11" ht="43.2" x14ac:dyDescent="0.3">
      <c r="J22" s="6" t="s">
        <v>121</v>
      </c>
      <c r="K22" s="7" t="s">
        <v>122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3" sqref="E3"/>
    </sheetView>
  </sheetViews>
  <sheetFormatPr defaultRowHeight="14.4" x14ac:dyDescent="0.3"/>
  <cols>
    <col min="1" max="1" width="9.77734375" bestFit="1" customWidth="1"/>
    <col min="2" max="2" width="14.33203125" bestFit="1" customWidth="1"/>
    <col min="7" max="7" width="12" bestFit="1" customWidth="1"/>
    <col min="8" max="8" width="13.77734375" bestFit="1" customWidth="1"/>
    <col min="9" max="9" width="24.21875" bestFit="1" customWidth="1"/>
  </cols>
  <sheetData>
    <row r="1" spans="1:9" x14ac:dyDescent="0.3">
      <c r="A1" s="1" t="s">
        <v>33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3">
      <c r="A2" s="2" t="s">
        <v>7</v>
      </c>
      <c r="B2" s="2">
        <v>3</v>
      </c>
      <c r="C2" s="2">
        <v>3</v>
      </c>
      <c r="D2" s="2">
        <v>2</v>
      </c>
      <c r="E2" s="2">
        <v>1</v>
      </c>
      <c r="F2" s="2">
        <v>0</v>
      </c>
      <c r="G2" s="2">
        <f>D2/C2</f>
        <v>0.66666666666666663</v>
      </c>
      <c r="H2" s="2">
        <v>1</v>
      </c>
      <c r="I2" s="2" t="s">
        <v>56</v>
      </c>
    </row>
    <row r="3" spans="1:9" x14ac:dyDescent="0.3">
      <c r="A3" s="2" t="s">
        <v>96</v>
      </c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TraceabilityMatrix</vt:lpstr>
      <vt:lpstr>TestCases</vt:lpstr>
      <vt:lpstr>Đăng ký</vt:lpstr>
      <vt:lpstr>Đăng nhập</vt:lpstr>
      <vt:lpstr>Quản lý giỏ hàng</vt:lpstr>
      <vt:lpstr>Xem chi tiết sản phẩm</vt:lpstr>
      <vt:lpstr>Xem tin tức theo danh mục</vt:lpstr>
      <vt:lpstr>Tìm kiếm sản phẩm</vt:lpstr>
      <vt:lpstr>Lịch sử mua hàng</vt:lpstr>
      <vt:lpstr>Đặt hàng</vt:lpstr>
      <vt:lpstr>Xem hãng theo danh mục</vt:lpstr>
      <vt:lpstr>Thêm sản phẩm vào giỏ hàng</vt:lpstr>
      <vt:lpstr>Quản lý thông tin tài khoản</vt:lpstr>
      <vt:lpstr>Quản lý sản phẩm</vt:lpstr>
      <vt:lpstr>Quản lý hãng</vt:lpstr>
      <vt:lpstr>Quản lý tài khoản </vt:lpstr>
      <vt:lpstr>Quản lý đơn hàng</vt:lpstr>
      <vt:lpstr>TestLog</vt:lpstr>
      <vt:lpstr>DefectReport</vt:lpstr>
      <vt:lpstr>TestReport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Hằng Lương Thu</dc:creator>
  <cp:lastModifiedBy>dell</cp:lastModifiedBy>
  <dcterms:created xsi:type="dcterms:W3CDTF">2025-10-15T16:47:37Z</dcterms:created>
  <dcterms:modified xsi:type="dcterms:W3CDTF">2026-05-09T04:29:53Z</dcterms:modified>
</cp:coreProperties>
</file>